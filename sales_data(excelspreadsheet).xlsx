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the\"/>
    </mc:Choice>
  </mc:AlternateContent>
  <xr:revisionPtr revIDLastSave="0" documentId="8_{7621E5FB-F9E1-4F97-8D5E-CF791E9446EF}" xr6:coauthVersionLast="47" xr6:coauthVersionMax="47" xr10:uidLastSave="{00000000-0000-0000-0000-000000000000}"/>
  <bookViews>
    <workbookView xWindow="-108" yWindow="-108" windowWidth="23256" windowHeight="12456" activeTab="1" xr2:uid="{39D86689-2739-438E-9C0F-EF99691C96B6}"/>
  </bookViews>
  <sheets>
    <sheet name="Sheet2" sheetId="3" r:id="rId1"/>
    <sheet name="sales_data2" sheetId="1" r:id="rId2"/>
  </sheets>
  <externalReferences>
    <externalReference r:id="rId3"/>
  </externalReferences>
  <definedNames>
    <definedName name="Slicer_Days">#N/A</definedName>
    <definedName name="Slicer_Months">#N/A</definedName>
  </definedNames>
  <calcPr calcId="191029"/>
  <fileRecoveryPr repairLoad="1"/>
  <extLst>
    <ext xmlns:x14="http://schemas.microsoft.com/office/spreadsheetml/2009/9/main" uri="{876F7934-8845-4945-9796-88D515C7AA90}">
      <x14:pivotCaches>
        <pivotCache cacheId="0" r:id="rId4"/>
        <pivotCache cacheId="1"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9" i="3"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alcChain>
</file>

<file path=xl/sharedStrings.xml><?xml version="1.0" encoding="utf-8"?>
<sst xmlns="http://schemas.openxmlformats.org/spreadsheetml/2006/main" count="7019" uniqueCount="59">
  <si>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</si>
  <si>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</si>
  <si>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</si>
  <si>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</si>
  <si>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</si>
  <si>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</si>
  <si>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</si>
  <si>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</si>
  <si>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</si>
  <si>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</si>
  <si>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</si>
  <si>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</si>
  <si>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</si>
  <si>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</si>
  <si>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</si>
  <si>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</si>
  <si>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</si>
  <si>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</si>
  <si>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</si>
  <si>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</si>
  <si>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</si>
  <si>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</si>
  <si>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</si>
  <si>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</si>
  <si>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</si>
  <si>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</si>
  <si>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</si>
  <si>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</si>
  <si>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</si>
  <si>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</si>
  <si>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</si>
  <si>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</si>
  <si>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</si>
  <si>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</si>
  <si>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</si>
  <si>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</si>
  <si>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</si>
  <si>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</si>
  <si>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</si>
  <si>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</si>
  <si>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</si>
  <si>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</si>
  <si>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</si>
  <si>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</si>
  <si>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</si>
  <si>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</si>
  <si>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</si>
  <si>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</si>
  <si>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</si>
  <si>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</si>
  <si>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</si>
  <si>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</si>
  <si>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</si>
  <si>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</si>
  <si>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Total_Bill</t>
  </si>
  <si>
    <t>Months</t>
  </si>
  <si>
    <t>Days</t>
  </si>
  <si>
    <t>Profit</t>
  </si>
  <si>
    <t>Profit_after_discount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</si>
</sst>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Total_Bill</c:v>
          </c:tx>
          <c:spPr>
            <a:solidFill>
              <a:schemeClr val="accent1">
                <a:lumMod val="50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1982332.6528000003</c:v>
              </c:pt>
              <c:pt idx="1">
                <c:v>1296538.0981999999</c:v>
              </c:pt>
              <c:pt idx="2">
                <c:v>1401779.2677999998</c:v>
              </c:pt>
              <c:pt idx="3">
                <c:v>2029127.6886000002</c:v>
              </c:pt>
            </c:numLit>
          </c:val>
          <c:extLst>
            <c:ext xmlns:c16="http://schemas.microsoft.com/office/drawing/2014/chart" uri="{C3380CC4-5D6E-409C-BE32-E72D297353CC}">
              <c16:uniqueId val="{00000000-0001-4E08-AC15-14BA20BD251C}"/>
            </c:ext>
          </c:extLst>
        </c:ser>
        <c:ser>
          <c:idx val="1"/>
          <c:order val="1"/>
          <c:tx>
            <c:v>Sum of Sales_Amount</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242918.31000000003</c:v>
              </c:pt>
              <c:pt idx="1">
                <c:v>149739.72</c:v>
              </c:pt>
              <c:pt idx="2">
                <c:v>143422.38</c:v>
              </c:pt>
              <c:pt idx="3">
                <c:v>190546.09</c:v>
              </c:pt>
            </c:numLit>
          </c:val>
          <c:extLst>
            <c:ext xmlns:c16="http://schemas.microsoft.com/office/drawing/2014/chart" uri="{C3380CC4-5D6E-409C-BE32-E72D297353CC}">
              <c16:uniqueId val="{00000001-0001-4E08-AC15-14BA20BD251C}"/>
            </c:ext>
          </c:extLst>
        </c:ser>
        <c:dLbls>
          <c:showLegendKey val="0"/>
          <c:showVal val="0"/>
          <c:showCatName val="0"/>
          <c:showSerName val="0"/>
          <c:showPercent val="0"/>
          <c:showBubbleSize val="0"/>
        </c:dLbls>
        <c:gapWidth val="150"/>
        <c:overlap val="100"/>
        <c:axId val="1197164288"/>
        <c:axId val="1197173888"/>
      </c:bar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 by Product Category</a:t>
            </a:r>
          </a:p>
        </c:rich>
      </c:tx>
      <c:layout>
        <c:manualLayout>
          <c:xMode val="edge"/>
          <c:yMode val="edge"/>
          <c:x val="0.156773365285861"/>
          <c:y val="5.2043623857362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manualLayout>
          <c:layoutTarget val="inner"/>
          <c:xMode val="edge"/>
          <c:yMode val="edge"/>
          <c:x val="0.20876662292213474"/>
          <c:y val="0.23725393700787406"/>
          <c:w val="0.39454527559055119"/>
          <c:h val="0.65757545931758532"/>
        </c:manualLayout>
      </c:layout>
      <c:pieChart>
        <c:varyColors val="1"/>
        <c:ser>
          <c:idx val="0"/>
          <c:order val="0"/>
          <c:tx>
            <c:v>Total</c:v>
          </c:tx>
          <c:spPr>
            <a:ln>
              <a:solidFill>
                <a:schemeClr val="tx1"/>
              </a:solidFill>
            </a:ln>
          </c:spPr>
          <c:dPt>
            <c:idx val="0"/>
            <c:bubble3D val="0"/>
            <c:explosion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33-47A5-8BA2-844DF37045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33-47A5-8BA2-844DF37045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33-47A5-8BA2-844DF37045DA}"/>
              </c:ext>
            </c:extLst>
          </c:dPt>
          <c:dPt>
            <c:idx val="3"/>
            <c:bubble3D val="0"/>
            <c:explosion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033-47A5-8BA2-844DF37045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Clothing</c:v>
              </c:pt>
              <c:pt idx="1">
                <c:v>Electronics</c:v>
              </c:pt>
              <c:pt idx="2">
                <c:v>Food</c:v>
              </c:pt>
              <c:pt idx="3">
                <c:v>Furniture</c:v>
              </c:pt>
            </c:strLit>
          </c:cat>
          <c:val>
            <c:numLit>
              <c:formatCode>General</c:formatCode>
              <c:ptCount val="4"/>
              <c:pt idx="0">
                <c:v>1550575.2803</c:v>
              </c:pt>
              <c:pt idx="1">
                <c:v>1207481.753</c:v>
              </c:pt>
              <c:pt idx="2">
                <c:v>1153880.3051</c:v>
              </c:pt>
              <c:pt idx="3">
                <c:v>2797840.3689999999</c:v>
              </c:pt>
            </c:numLit>
          </c:val>
          <c:extLst>
            <c:ext xmlns:c16="http://schemas.microsoft.com/office/drawing/2014/chart" uri="{C3380CC4-5D6E-409C-BE32-E72D297353CC}">
              <c16:uniqueId val="{00000008-6033-47A5-8BA2-844DF37045DA}"/>
            </c:ext>
          </c:extLst>
        </c:ser>
        <c:dLbls>
          <c:dLblPos val="bestFit"/>
          <c:showLegendKey val="0"/>
          <c:showVal val="1"/>
          <c:showCatName val="0"/>
          <c:showSerName val="0"/>
          <c:showPercent val="0"/>
          <c:showBubbleSize val="0"/>
          <c:showLeaderLines val="1"/>
        </c:dLbls>
        <c:firstSliceAng val="0"/>
      </c:pieChart>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Channel</a:t>
            </a:r>
          </a:p>
        </c:rich>
      </c:tx>
      <c:overlay val="0"/>
      <c:spPr>
        <a:noFill/>
        <a:ln>
          <a:solidFill>
            <a:schemeClr val="tx1"/>
          </a:solid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lumMod val="50000"/>
              </a:schemeClr>
            </a:solidFill>
            <a:ln>
              <a:noFill/>
            </a:ln>
            <a:effectLst/>
          </c:spPr>
          <c:invertIfNegative val="0"/>
          <c:cat>
            <c:strLit>
              <c:ptCount val="3"/>
              <c:pt idx="0">
                <c:v>Bank Transfer</c:v>
              </c:pt>
              <c:pt idx="1">
                <c:v>Cash</c:v>
              </c:pt>
              <c:pt idx="2">
                <c:v>Credit Card</c:v>
              </c:pt>
            </c:strLit>
          </c:cat>
          <c:val>
            <c:numLit>
              <c:formatCode>General</c:formatCode>
              <c:ptCount val="3"/>
              <c:pt idx="0">
                <c:v>2887028.7857000004</c:v>
              </c:pt>
              <c:pt idx="1">
                <c:v>1565556.9715999996</c:v>
              </c:pt>
              <c:pt idx="2">
                <c:v>2257191.9501</c:v>
              </c:pt>
            </c:numLit>
          </c:val>
          <c:extLst>
            <c:ext xmlns:c16="http://schemas.microsoft.com/office/drawing/2014/chart" uri="{C3380CC4-5D6E-409C-BE32-E72D297353CC}">
              <c16:uniqueId val="{00000004-9EFD-4D1F-9F52-00D62BE01987}"/>
            </c:ext>
          </c:extLst>
        </c:ser>
        <c:dLbls>
          <c:showLegendKey val="0"/>
          <c:showVal val="0"/>
          <c:showCatName val="0"/>
          <c:showSerName val="0"/>
          <c:showPercent val="0"/>
          <c:showBubbleSize val="0"/>
        </c:dLbls>
        <c:gapWidth val="150"/>
        <c:overlap val="100"/>
        <c:axId val="1197164288"/>
        <c:axId val="1197173888"/>
      </c:bar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Profit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lumMod val="50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297814.40999999864</c:v>
              </c:pt>
              <c:pt idx="1">
                <c:v>154248.8699999995</c:v>
              </c:pt>
              <c:pt idx="2">
                <c:v>218038.81999999908</c:v>
              </c:pt>
              <c:pt idx="3">
                <c:v>237102.52999999936</c:v>
              </c:pt>
            </c:numLit>
          </c:val>
          <c:extLst>
            <c:ext xmlns:c16="http://schemas.microsoft.com/office/drawing/2014/chart" uri="{C3380CC4-5D6E-409C-BE32-E72D297353CC}">
              <c16:uniqueId val="{00000002-74AC-4042-A07D-2520C226BB71}"/>
            </c:ext>
          </c:extLst>
        </c:ser>
        <c:dLbls>
          <c:showLegendKey val="0"/>
          <c:showVal val="0"/>
          <c:showCatName val="0"/>
          <c:showSerName val="0"/>
          <c:showPercent val="0"/>
          <c:showBubbleSize val="0"/>
        </c:dLbls>
        <c:gapWidth val="150"/>
        <c:overlap val="100"/>
        <c:axId val="1197164288"/>
        <c:axId val="1197173888"/>
      </c:bar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Channel (Retail VS Online)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25974685966077"/>
          <c:y val="0.20951595159515957"/>
          <c:w val="0.52945760766236794"/>
          <c:h val="0.55174198522214424"/>
        </c:manualLayout>
      </c:layout>
      <c:barChart>
        <c:barDir val="col"/>
        <c:grouping val="stacked"/>
        <c:varyColors val="0"/>
        <c:ser>
          <c:idx val="0"/>
          <c:order val="0"/>
          <c:tx>
            <c:v>Total</c:v>
          </c:tx>
          <c:spPr>
            <a:solidFill>
              <a:schemeClr val="accent1">
                <a:lumMod val="50000"/>
              </a:schemeClr>
            </a:solidFill>
            <a:ln>
              <a:noFill/>
            </a:ln>
            <a:effectLst/>
          </c:spPr>
          <c:invertIfNegative val="0"/>
          <c:cat>
            <c:strLit>
              <c:ptCount val="2"/>
              <c:pt idx="0">
                <c:v>Online</c:v>
              </c:pt>
              <c:pt idx="1">
                <c:v>Retail</c:v>
              </c:pt>
            </c:strLit>
          </c:cat>
          <c:val>
            <c:numLit>
              <c:formatCode>General</c:formatCode>
              <c:ptCount val="2"/>
              <c:pt idx="0">
                <c:v>3218440.2597000012</c:v>
              </c:pt>
              <c:pt idx="1">
                <c:v>3491337.4476999999</c:v>
              </c:pt>
            </c:numLit>
          </c:val>
          <c:extLst>
            <c:ext xmlns:c16="http://schemas.microsoft.com/office/drawing/2014/chart" uri="{C3380CC4-5D6E-409C-BE32-E72D297353CC}">
              <c16:uniqueId val="{00000002-F4D2-4DBF-BFA1-AEC66C87AE0B}"/>
            </c:ext>
          </c:extLst>
        </c:ser>
        <c:dLbls>
          <c:showLegendKey val="0"/>
          <c:showVal val="0"/>
          <c:showCatName val="0"/>
          <c:showSerName val="0"/>
          <c:showPercent val="0"/>
          <c:showBubbleSize val="0"/>
        </c:dLbls>
        <c:gapWidth val="150"/>
        <c:overlap val="100"/>
        <c:axId val="1197164288"/>
        <c:axId val="1197173888"/>
      </c:bar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Customer Type(New VS Returning)</a:t>
            </a:r>
          </a:p>
        </c:rich>
      </c:tx>
      <c:overlay val="0"/>
      <c:spPr>
        <a:noFill/>
        <a:ln>
          <a:solidFill>
            <a:schemeClr val="tx1">
              <a:lumMod val="95000"/>
              <a:lumOff val="5000"/>
            </a:schemeClr>
          </a:solid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v>Total</c:v>
          </c:tx>
          <c:invertIfNegative val="0"/>
          <c:cat>
            <c:strLit>
              <c:ptCount val="2"/>
              <c:pt idx="0">
                <c:v>New</c:v>
              </c:pt>
              <c:pt idx="1">
                <c:v>Returning</c:v>
              </c:pt>
            </c:strLit>
          </c:cat>
          <c:val>
            <c:numLit>
              <c:formatCode>General</c:formatCode>
              <c:ptCount val="2"/>
              <c:pt idx="0">
                <c:v>2990560.8711999999</c:v>
              </c:pt>
              <c:pt idx="1">
                <c:v>3719216.8361999998</c:v>
              </c:pt>
            </c:numLit>
          </c:val>
          <c:extLst>
            <c:ext xmlns:c16="http://schemas.microsoft.com/office/drawing/2014/chart" uri="{C3380CC4-5D6E-409C-BE32-E72D297353CC}">
              <c16:uniqueId val="{00000003-5259-4A2A-B22F-990F378918A1}"/>
            </c:ext>
          </c:extLst>
        </c:ser>
        <c:dLbls>
          <c:showLegendKey val="0"/>
          <c:showVal val="0"/>
          <c:showCatName val="0"/>
          <c:showSerName val="0"/>
          <c:showPercent val="0"/>
          <c:showBubbleSize val="0"/>
        </c:dLbls>
        <c:gapWidth val="150"/>
        <c:axId val="1197164288"/>
        <c:axId val="1197173888"/>
      </c:barChart>
      <c:catAx>
        <c:axId val="1197164288"/>
        <c:scaling>
          <c:orientation val="minMax"/>
        </c:scaling>
        <c:delete val="0"/>
        <c:axPos val="l"/>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Daily Sale Trend of Different</a:t>
            </a:r>
            <a:r>
              <a:rPr lang="en-US" baseline="0">
                <a:solidFill>
                  <a:schemeClr val="tx1"/>
                </a:solidFill>
              </a:rPr>
              <a:t> Customers</a:t>
            </a:r>
            <a:endParaRPr lang="en-US">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effectLst/>
          </c:spPr>
          <c:marker>
            <c:symbol val="none"/>
          </c:marker>
          <c:cat>
            <c:strLit>
              <c:ptCount val="2"/>
              <c:pt idx="0">
                <c:v>Tuesday New</c:v>
              </c:pt>
              <c:pt idx="1">
                <c:v>Tuesday Returning</c:v>
              </c:pt>
            </c:strLit>
          </c:cat>
          <c:val>
            <c:numLit>
              <c:formatCode>General</c:formatCode>
              <c:ptCount val="2"/>
              <c:pt idx="0">
                <c:v>2990560.8711999999</c:v>
              </c:pt>
              <c:pt idx="1">
                <c:v>3719216.8361999998</c:v>
              </c:pt>
            </c:numLit>
          </c:val>
          <c:smooth val="0"/>
          <c:extLst>
            <c:ext xmlns:c16="http://schemas.microsoft.com/office/drawing/2014/chart" uri="{C3380CC4-5D6E-409C-BE32-E72D297353CC}">
              <c16:uniqueId val="{00000005-1DFF-4585-AD8A-1FA0A786C20A}"/>
            </c:ext>
          </c:extLst>
        </c:ser>
        <c:dLbls>
          <c:showLegendKey val="0"/>
          <c:showVal val="0"/>
          <c:showCatName val="0"/>
          <c:showSerName val="0"/>
          <c:showPercent val="0"/>
          <c:showBubbleSize val="0"/>
        </c:dLbls>
        <c:smooth val="0"/>
        <c:axId val="1197164288"/>
        <c:axId val="1197173888"/>
      </c:line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Revenue Generated by each Product Category</a:t>
            </a:r>
          </a:p>
        </c:rich>
      </c:tx>
      <c:layout>
        <c:manualLayout>
          <c:xMode val="edge"/>
          <c:yMode val="edge"/>
          <c:x val="0.13158394793411005"/>
          <c:y val="3.68099263511793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manualLayout>
          <c:layoutTarget val="inner"/>
          <c:xMode val="edge"/>
          <c:yMode val="edge"/>
          <c:x val="0.20876662292213474"/>
          <c:y val="0.23725393700787406"/>
          <c:w val="0.39454527559055119"/>
          <c:h val="0.65757545931758532"/>
        </c:manualLayout>
      </c:layout>
      <c:pieChart>
        <c:varyColors val="1"/>
        <c:ser>
          <c:idx val="0"/>
          <c:order val="0"/>
          <c:tx>
            <c:v>Total</c:v>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21-4578-BEB6-23FE35A402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21-4578-BEB6-23FE35A402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21-4578-BEB6-23FE35A4020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21-4578-BEB6-23FE35A4020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77B-46CC-B235-78D3519D52D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77B-46CC-B235-78D3519D52D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77B-46CC-B235-78D3519D52D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77B-46CC-B235-78D3519D52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8"/>
              <c:pt idx="0">
                <c:v>Online Clothing</c:v>
              </c:pt>
              <c:pt idx="1">
                <c:v>Online Electronics</c:v>
              </c:pt>
              <c:pt idx="2">
                <c:v>Online Food</c:v>
              </c:pt>
              <c:pt idx="3">
                <c:v>Online Furniture</c:v>
              </c:pt>
              <c:pt idx="4">
                <c:v>Retail Clothing</c:v>
              </c:pt>
              <c:pt idx="5">
                <c:v>Retail Electronics</c:v>
              </c:pt>
              <c:pt idx="6">
                <c:v>Retail Food</c:v>
              </c:pt>
              <c:pt idx="7">
                <c:v>Retail Furniture</c:v>
              </c:pt>
            </c:strLit>
          </c:cat>
          <c:val>
            <c:numLit>
              <c:formatCode>General</c:formatCode>
              <c:ptCount val="8"/>
              <c:pt idx="0">
                <c:v>461898.23500000004</c:v>
              </c:pt>
              <c:pt idx="1">
                <c:v>775766.89330000011</c:v>
              </c:pt>
              <c:pt idx="2">
                <c:v>479439.23140000005</c:v>
              </c:pt>
              <c:pt idx="3">
                <c:v>1501335.9000000001</c:v>
              </c:pt>
              <c:pt idx="4">
                <c:v>1088677.0453000001</c:v>
              </c:pt>
              <c:pt idx="5">
                <c:v>431714.85970000003</c:v>
              </c:pt>
              <c:pt idx="6">
                <c:v>674441.07369999995</c:v>
              </c:pt>
              <c:pt idx="7">
                <c:v>1296504.4690000003</c:v>
              </c:pt>
            </c:numLit>
          </c:val>
          <c:extLst>
            <c:ext xmlns:c16="http://schemas.microsoft.com/office/drawing/2014/chart" uri="{C3380CC4-5D6E-409C-BE32-E72D297353CC}">
              <c16:uniqueId val="{0000000A-DD21-4578-BEB6-23FE35A402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Sales Trend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50000"/>
            </a:schemeClr>
          </a:solidFill>
          <a:effectLst/>
        </c:spPr>
        <c:dLbl>
          <c:idx val="0"/>
          <c:delete val="1"/>
          <c:extLst>
            <c:ext xmlns:c15="http://schemas.microsoft.com/office/drawing/2012/chart" uri="{CE6537A1-D6FC-4f65-9D91-7224C49458BB}"/>
          </c:extLst>
        </c:dLbl>
      </c:pivotFmt>
    </c:pivotFmts>
    <c:plotArea>
      <c:layout>
        <c:manualLayout>
          <c:layoutTarget val="inner"/>
          <c:xMode val="edge"/>
          <c:yMode val="edge"/>
          <c:x val="0.28327421910099071"/>
          <c:y val="0.21389850057670129"/>
          <c:w val="0.48204050507200114"/>
          <c:h val="0.53002706409103706"/>
        </c:manualLayout>
      </c:layout>
      <c:lineChart>
        <c:grouping val="standard"/>
        <c:varyColors val="0"/>
        <c:ser>
          <c:idx val="0"/>
          <c:order val="0"/>
          <c:tx>
            <c:v>Total</c:v>
          </c:tx>
          <c:spPr>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5840818.6342000002</c:v>
              </c:pt>
              <c:pt idx="1">
                <c:v>4260019.4048999995</c:v>
              </c:pt>
              <c:pt idx="2">
                <c:v>4661628.9235000014</c:v>
              </c:pt>
              <c:pt idx="3">
                <c:v>4107266.1788000003</c:v>
              </c:pt>
              <c:pt idx="4">
                <c:v>4468226.9192999993</c:v>
              </c:pt>
              <c:pt idx="5">
                <c:v>4773093.3172000023</c:v>
              </c:pt>
              <c:pt idx="6">
                <c:v>3625098.4112</c:v>
              </c:pt>
              <c:pt idx="7">
                <c:v>5244123.0695999982</c:v>
              </c:pt>
              <c:pt idx="8">
                <c:v>3441649.4210999999</c:v>
              </c:pt>
              <c:pt idx="9">
                <c:v>5171406.3459000001</c:v>
              </c:pt>
              <c:pt idx="10">
                <c:v>3693402.0433999994</c:v>
              </c:pt>
              <c:pt idx="11">
                <c:v>4890824.2472000001</c:v>
              </c:pt>
            </c:numLit>
          </c:val>
          <c:smooth val="0"/>
          <c:extLst>
            <c:ext xmlns:c16="http://schemas.microsoft.com/office/drawing/2014/chart" uri="{C3380CC4-5D6E-409C-BE32-E72D297353CC}">
              <c16:uniqueId val="{00000002-994D-4834-9851-A5FE09D5B816}"/>
            </c:ext>
          </c:extLst>
        </c:ser>
        <c:dLbls>
          <c:showLegendKey val="0"/>
          <c:showVal val="0"/>
          <c:showCatName val="0"/>
          <c:showSerName val="0"/>
          <c:showPercent val="0"/>
          <c:showBubbleSize val="0"/>
        </c:dLbls>
        <c:marker val="1"/>
        <c:smooth val="0"/>
        <c:axId val="1197164288"/>
        <c:axId val="1197173888"/>
      </c:lineChart>
      <c:catAx>
        <c:axId val="119716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73888"/>
        <c:crosses val="autoZero"/>
        <c:auto val="1"/>
        <c:lblAlgn val="ctr"/>
        <c:lblOffset val="100"/>
        <c:noMultiLvlLbl val="0"/>
      </c:catAx>
      <c:valAx>
        <c:axId val="119717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Total_bill</a:t>
                </a:r>
              </a:p>
            </c:rich>
          </c:tx>
          <c:overlay val="0"/>
          <c:spPr>
            <a:noFill/>
            <a:ln>
              <a:noFill/>
            </a:ln>
            <a:effectLst/>
          </c:sp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7164288"/>
        <c:crosses val="autoZero"/>
        <c:crossBetween val="between"/>
      </c:valAx>
      <c:spPr>
        <a:solidFill>
          <a:schemeClr val="accent2">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2">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9</xdr:col>
      <xdr:colOff>76200</xdr:colOff>
      <xdr:row>6</xdr:row>
      <xdr:rowOff>60960</xdr:rowOff>
    </xdr:from>
    <xdr:to>
      <xdr:col>14</xdr:col>
      <xdr:colOff>533400</xdr:colOff>
      <xdr:row>17</xdr:row>
      <xdr:rowOff>175260</xdr:rowOff>
    </xdr:to>
    <xdr:graphicFrame macro="">
      <xdr:nvGraphicFramePr>
        <xdr:cNvPr id="2" name="Chart 1">
          <a:extLst>
            <a:ext uri="{FF2B5EF4-FFF2-40B4-BE49-F238E27FC236}">
              <a16:creationId xmlns:a16="http://schemas.microsoft.com/office/drawing/2014/main" id="{31316C63-5F4D-4FEF-99FC-C43513990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601980</xdr:colOff>
      <xdr:row>6</xdr:row>
      <xdr:rowOff>91440</xdr:rowOff>
    </xdr:from>
    <xdr:to>
      <xdr:col>20</xdr:col>
      <xdr:colOff>510540</xdr:colOff>
      <xdr:row>18</xdr:row>
      <xdr:rowOff>30480</xdr:rowOff>
    </xdr:to>
    <xdr:graphicFrame macro="">
      <xdr:nvGraphicFramePr>
        <xdr:cNvPr id="4" name="Chart 3">
          <a:extLst>
            <a:ext uri="{FF2B5EF4-FFF2-40B4-BE49-F238E27FC236}">
              <a16:creationId xmlns:a16="http://schemas.microsoft.com/office/drawing/2014/main" id="{1D897470-7025-4C30-8349-9FEEBCA37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0</xdr:colOff>
      <xdr:row>31</xdr:row>
      <xdr:rowOff>167640</xdr:rowOff>
    </xdr:from>
    <xdr:to>
      <xdr:col>20</xdr:col>
      <xdr:colOff>525780</xdr:colOff>
      <xdr:row>44</xdr:row>
      <xdr:rowOff>38100</xdr:rowOff>
    </xdr:to>
    <xdr:graphicFrame macro="">
      <xdr:nvGraphicFramePr>
        <xdr:cNvPr id="5" name="Chart 4">
          <a:extLst>
            <a:ext uri="{FF2B5EF4-FFF2-40B4-BE49-F238E27FC236}">
              <a16:creationId xmlns:a16="http://schemas.microsoft.com/office/drawing/2014/main" id="{1C5D540F-127D-4ED2-B526-9B22B768D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60960</xdr:colOff>
      <xdr:row>18</xdr:row>
      <xdr:rowOff>91440</xdr:rowOff>
    </xdr:from>
    <xdr:to>
      <xdr:col>14</xdr:col>
      <xdr:colOff>541020</xdr:colOff>
      <xdr:row>31</xdr:row>
      <xdr:rowOff>68580</xdr:rowOff>
    </xdr:to>
    <xdr:graphicFrame macro="">
      <xdr:nvGraphicFramePr>
        <xdr:cNvPr id="6" name="Chart 5">
          <a:extLst>
            <a:ext uri="{FF2B5EF4-FFF2-40B4-BE49-F238E27FC236}">
              <a16:creationId xmlns:a16="http://schemas.microsoft.com/office/drawing/2014/main" id="{49B671DE-A123-40F2-9D20-69E56E840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266700</xdr:colOff>
      <xdr:row>31</xdr:row>
      <xdr:rowOff>152400</xdr:rowOff>
    </xdr:from>
    <xdr:to>
      <xdr:col>9</xdr:col>
      <xdr:colOff>30480</xdr:colOff>
      <xdr:row>44</xdr:row>
      <xdr:rowOff>53340</xdr:rowOff>
    </xdr:to>
    <xdr:graphicFrame macro="">
      <xdr:nvGraphicFramePr>
        <xdr:cNvPr id="7" name="Chart 6">
          <a:extLst>
            <a:ext uri="{FF2B5EF4-FFF2-40B4-BE49-F238E27FC236}">
              <a16:creationId xmlns:a16="http://schemas.microsoft.com/office/drawing/2014/main" id="{904C8CDB-E7FD-40B8-BF85-26A59E7DD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38100</xdr:colOff>
      <xdr:row>18</xdr:row>
      <xdr:rowOff>129540</xdr:rowOff>
    </xdr:from>
    <xdr:to>
      <xdr:col>20</xdr:col>
      <xdr:colOff>525780</xdr:colOff>
      <xdr:row>31</xdr:row>
      <xdr:rowOff>38100</xdr:rowOff>
    </xdr:to>
    <xdr:graphicFrame macro="">
      <xdr:nvGraphicFramePr>
        <xdr:cNvPr id="8" name="Chart 7">
          <a:extLst>
            <a:ext uri="{FF2B5EF4-FFF2-40B4-BE49-F238E27FC236}">
              <a16:creationId xmlns:a16="http://schemas.microsoft.com/office/drawing/2014/main" id="{7A5C9980-7B36-4212-B56F-EFC7B577A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144780</xdr:colOff>
      <xdr:row>31</xdr:row>
      <xdr:rowOff>137160</xdr:rowOff>
    </xdr:from>
    <xdr:to>
      <xdr:col>14</xdr:col>
      <xdr:colOff>510540</xdr:colOff>
      <xdr:row>44</xdr:row>
      <xdr:rowOff>53340</xdr:rowOff>
    </xdr:to>
    <xdr:graphicFrame macro="">
      <xdr:nvGraphicFramePr>
        <xdr:cNvPr id="9" name="Chart 8">
          <a:extLst>
            <a:ext uri="{FF2B5EF4-FFF2-40B4-BE49-F238E27FC236}">
              <a16:creationId xmlns:a16="http://schemas.microsoft.com/office/drawing/2014/main" id="{A73B9777-D7D4-438F-A572-18AECA7D5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xdr:col>
      <xdr:colOff>228600</xdr:colOff>
      <xdr:row>18</xdr:row>
      <xdr:rowOff>106680</xdr:rowOff>
    </xdr:from>
    <xdr:to>
      <xdr:col>8</xdr:col>
      <xdr:colOff>586740</xdr:colOff>
      <xdr:row>31</xdr:row>
      <xdr:rowOff>68580</xdr:rowOff>
    </xdr:to>
    <xdr:graphicFrame macro="">
      <xdr:nvGraphicFramePr>
        <xdr:cNvPr id="10" name="Chart 9">
          <a:extLst>
            <a:ext uri="{FF2B5EF4-FFF2-40B4-BE49-F238E27FC236}">
              <a16:creationId xmlns:a16="http://schemas.microsoft.com/office/drawing/2014/main" id="{6CEC9BF0-56BB-4BED-87D4-3CF9CFB27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3</xdr:col>
      <xdr:colOff>236220</xdr:colOff>
      <xdr:row>6</xdr:row>
      <xdr:rowOff>83820</xdr:rowOff>
    </xdr:from>
    <xdr:to>
      <xdr:col>8</xdr:col>
      <xdr:colOff>571500</xdr:colOff>
      <xdr:row>18</xdr:row>
      <xdr:rowOff>38100</xdr:rowOff>
    </xdr:to>
    <xdr:graphicFrame macro="">
      <xdr:nvGraphicFramePr>
        <xdr:cNvPr id="18" name="Chart 17">
          <a:extLst>
            <a:ext uri="{FF2B5EF4-FFF2-40B4-BE49-F238E27FC236}">
              <a16:creationId xmlns:a16="http://schemas.microsoft.com/office/drawing/2014/main" id="{9E9858B2-3DAF-4121-ACEB-ED4AC27BE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76200</xdr:colOff>
      <xdr:row>5</xdr:row>
      <xdr:rowOff>167640</xdr:rowOff>
    </xdr:from>
    <xdr:to>
      <xdr:col>3</xdr:col>
      <xdr:colOff>76200</xdr:colOff>
      <xdr:row>19</xdr:row>
      <xdr:rowOff>20955</xdr:rowOff>
    </xdr:to>
    <mc:AlternateContent xmlns:mc="http://schemas.openxmlformats.org/markup-compatibility/2006">
      <mc:Choice xmlns:a14="http://schemas.microsoft.com/office/drawing/2010/main" Requires="a14">
        <xdr:graphicFrame macro="">
          <xdr:nvGraphicFramePr>
            <xdr:cNvPr id="20" name="Months">
              <a:extLst>
                <a:ext uri="{FF2B5EF4-FFF2-40B4-BE49-F238E27FC236}">
                  <a16:creationId xmlns:a16="http://schemas.microsoft.com/office/drawing/2014/main" id="{5FDE2C1D-1CFD-9A8A-0FDC-03E0D9CA6B5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620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91440</xdr:colOff>
      <xdr:row>19</xdr:row>
      <xdr:rowOff>167640</xdr:rowOff>
    </xdr:from>
    <xdr:to>
      <xdr:col>3</xdr:col>
      <xdr:colOff>91440</xdr:colOff>
      <xdr:row>33</xdr:row>
      <xdr:rowOff>120015</xdr:rowOff>
    </xdr:to>
    <mc:AlternateContent xmlns:mc="http://schemas.openxmlformats.org/markup-compatibility/2006">
      <mc:Choice xmlns:a14="http://schemas.microsoft.com/office/drawing/2010/main" Requires="a14">
        <xdr:graphicFrame macro="">
          <xdr:nvGraphicFramePr>
            <xdr:cNvPr id="22" name="Days">
              <a:extLst>
                <a:ext uri="{FF2B5EF4-FFF2-40B4-BE49-F238E27FC236}">
                  <a16:creationId xmlns:a16="http://schemas.microsoft.com/office/drawing/2014/main" id="{A3BB52DE-5C38-4F31-BFE0-3976694EFB52}"/>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dr:sp macro="" textlink="">
          <xdr:nvSpPr>
            <xdr:cNvPr id="0" name=""/>
            <xdr:cNvSpPr>
              <a:spLocks noTextEdit="1"/>
            </xdr:cNvSpPr>
          </xdr:nvSpPr>
          <xdr:spPr>
            <a:xfrm>
              <a:off x="91440" y="3695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312420</xdr:colOff>
      <xdr:row>1</xdr:row>
      <xdr:rowOff>83820</xdr:rowOff>
    </xdr:from>
    <xdr:to>
      <xdr:col>9</xdr:col>
      <xdr:colOff>228600</xdr:colOff>
      <xdr:row>5</xdr:row>
      <xdr:rowOff>76200</xdr:rowOff>
    </xdr:to>
    <xdr:sp macro="" textlink="#REF!">
      <xdr:nvSpPr>
        <xdr:cNvPr id="23" name="Rectangle: Rounded Corners 22">
          <a:extLst>
            <a:ext uri="{FF2B5EF4-FFF2-40B4-BE49-F238E27FC236}">
              <a16:creationId xmlns:a16="http://schemas.microsoft.com/office/drawing/2014/main" id="{A8AF96F6-F5FB-43DE-BC6B-4A3D9811E800}"/>
            </a:ext>
          </a:extLst>
        </xdr:cNvPr>
        <xdr:cNvSpPr/>
      </xdr:nvSpPr>
      <xdr:spPr>
        <a:xfrm>
          <a:off x="3360420" y="266700"/>
          <a:ext cx="235458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solidFill>
              <a:latin typeface="Calibri"/>
              <a:ea typeface="Calibri"/>
              <a:cs typeface="Calibri"/>
            </a:rPr>
            <a:t>$</a:t>
          </a:r>
          <a:r>
            <a:rPr lang="en-US" sz="1400" b="0" i="0" u="none" strike="noStrike" baseline="0">
              <a:solidFill>
                <a:schemeClr val="tx1"/>
              </a:solidFill>
              <a:latin typeface="Calibri"/>
              <a:ea typeface="Calibri"/>
              <a:cs typeface="Calibri"/>
            </a:rPr>
            <a:t> </a:t>
          </a:r>
          <a:fld id="{4C555A82-9C7C-4729-902C-3F279509F694}" type="TxLink">
            <a:rPr lang="en-US" sz="1400" b="0" i="0" u="none" strike="noStrike">
              <a:solidFill>
                <a:schemeClr val="tx1"/>
              </a:solidFill>
              <a:latin typeface="Calibri"/>
              <a:ea typeface="Calibri"/>
              <a:cs typeface="Calibri"/>
            </a:rPr>
            <a:pPr algn="ctr"/>
            <a:t>54177556.92</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Total</a:t>
          </a:r>
          <a:r>
            <a:rPr lang="en-US" sz="1400" b="0" i="0" u="none" strike="noStrike" baseline="0">
              <a:solidFill>
                <a:schemeClr val="tx1"/>
              </a:solidFill>
              <a:latin typeface="Calibri"/>
              <a:ea typeface="Calibri"/>
              <a:cs typeface="Calibri"/>
            </a:rPr>
            <a:t> Sales</a:t>
          </a:r>
          <a:endParaRPr lang="en-US" sz="1400">
            <a:solidFill>
              <a:schemeClr val="tx1"/>
            </a:solidFill>
          </a:endParaRPr>
        </a:p>
      </xdr:txBody>
    </xdr:sp>
    <xdr:clientData/>
  </xdr:twoCellAnchor>
  <xdr:twoCellAnchor editAs="absolute">
    <xdr:from>
      <xdr:col>13</xdr:col>
      <xdr:colOff>220980</xdr:colOff>
      <xdr:row>1</xdr:row>
      <xdr:rowOff>99060</xdr:rowOff>
    </xdr:from>
    <xdr:to>
      <xdr:col>17</xdr:col>
      <xdr:colOff>91440</xdr:colOff>
      <xdr:row>5</xdr:row>
      <xdr:rowOff>91440</xdr:rowOff>
    </xdr:to>
    <xdr:sp macro="" textlink="#REF!">
      <xdr:nvSpPr>
        <xdr:cNvPr id="24" name="Rectangle: Rounded Corners 23">
          <a:extLst>
            <a:ext uri="{FF2B5EF4-FFF2-40B4-BE49-F238E27FC236}">
              <a16:creationId xmlns:a16="http://schemas.microsoft.com/office/drawing/2014/main" id="{00A2FA1D-FE49-498E-9E25-F58A9B68B781}"/>
            </a:ext>
          </a:extLst>
        </xdr:cNvPr>
        <xdr:cNvSpPr/>
      </xdr:nvSpPr>
      <xdr:spPr>
        <a:xfrm>
          <a:off x="8145780" y="281940"/>
          <a:ext cx="230886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solidFill>
              <a:latin typeface="Calibri"/>
              <a:ea typeface="Calibri"/>
              <a:cs typeface="Calibri"/>
            </a:rPr>
            <a:t>$</a:t>
          </a:r>
          <a:r>
            <a:rPr lang="en-US" sz="1400" b="0" i="0" u="none" strike="noStrike" baseline="0">
              <a:solidFill>
                <a:schemeClr val="tx1"/>
              </a:solidFill>
              <a:latin typeface="Calibri"/>
              <a:ea typeface="Calibri"/>
              <a:cs typeface="Calibri"/>
            </a:rPr>
            <a:t> </a:t>
          </a:r>
          <a:fld id="{6A8795A1-0FBF-4B69-9B8D-CCBD86F8E0CB}" type="TxLink">
            <a:rPr lang="en-US" sz="1400" b="0" i="0" u="none" strike="noStrike">
              <a:solidFill>
                <a:schemeClr val="tx1"/>
              </a:solidFill>
              <a:latin typeface="Calibri"/>
              <a:ea typeface="Calibri"/>
              <a:cs typeface="Calibri"/>
            </a:rPr>
            <a:t>5019265.23</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Total Order</a:t>
          </a:r>
        </a:p>
      </xdr:txBody>
    </xdr:sp>
    <xdr:clientData/>
  </xdr:twoCellAnchor>
  <xdr:twoCellAnchor editAs="absolute">
    <xdr:from>
      <xdr:col>17</xdr:col>
      <xdr:colOff>137160</xdr:colOff>
      <xdr:row>1</xdr:row>
      <xdr:rowOff>91440</xdr:rowOff>
    </xdr:from>
    <xdr:to>
      <xdr:col>21</xdr:col>
      <xdr:colOff>0</xdr:colOff>
      <xdr:row>5</xdr:row>
      <xdr:rowOff>83820</xdr:rowOff>
    </xdr:to>
    <xdr:sp macro="" textlink="#REF!">
      <xdr:nvSpPr>
        <xdr:cNvPr id="25" name="Rectangle: Rounded Corners 24">
          <a:extLst>
            <a:ext uri="{FF2B5EF4-FFF2-40B4-BE49-F238E27FC236}">
              <a16:creationId xmlns:a16="http://schemas.microsoft.com/office/drawing/2014/main" id="{7E248217-F6EA-4D22-AF0D-AB0DE9043381}"/>
            </a:ext>
          </a:extLst>
        </xdr:cNvPr>
        <xdr:cNvSpPr/>
      </xdr:nvSpPr>
      <xdr:spPr>
        <a:xfrm>
          <a:off x="10500360" y="274320"/>
          <a:ext cx="230124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solidFill>
              <a:latin typeface="Calibri"/>
              <a:ea typeface="Calibri"/>
              <a:cs typeface="Calibri"/>
            </a:rPr>
            <a:t>$ </a:t>
          </a:r>
          <a:fld id="{D7E919DD-CE73-4B96-9997-C16933D7AC1F}" type="TxLink">
            <a:rPr lang="en-US" sz="1400" b="0" i="0" u="none" strike="noStrike">
              <a:solidFill>
                <a:schemeClr val="tx1"/>
              </a:solidFill>
              <a:latin typeface="Calibri"/>
              <a:ea typeface="Calibri"/>
              <a:cs typeface="Calibri"/>
            </a:rPr>
            <a:t>6487847.07</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Total</a:t>
          </a:r>
          <a:r>
            <a:rPr lang="en-US" sz="1400" b="0" i="0" u="none" strike="noStrike" baseline="0">
              <a:solidFill>
                <a:schemeClr val="tx1"/>
              </a:solidFill>
              <a:latin typeface="Calibri"/>
              <a:ea typeface="Calibri"/>
              <a:cs typeface="Calibri"/>
            </a:rPr>
            <a:t> Profits</a:t>
          </a:r>
          <a:endParaRPr lang="en-US" sz="1400">
            <a:solidFill>
              <a:schemeClr val="tx1"/>
            </a:solidFill>
          </a:endParaRPr>
        </a:p>
      </xdr:txBody>
    </xdr:sp>
    <xdr:clientData/>
  </xdr:twoCellAnchor>
  <xdr:twoCellAnchor editAs="absolute">
    <xdr:from>
      <xdr:col>9</xdr:col>
      <xdr:colOff>274320</xdr:colOff>
      <xdr:row>1</xdr:row>
      <xdr:rowOff>83820</xdr:rowOff>
    </xdr:from>
    <xdr:to>
      <xdr:col>13</xdr:col>
      <xdr:colOff>175260</xdr:colOff>
      <xdr:row>5</xdr:row>
      <xdr:rowOff>76200</xdr:rowOff>
    </xdr:to>
    <xdr:sp macro="" textlink="#REF!">
      <xdr:nvSpPr>
        <xdr:cNvPr id="28" name="Rectangle: Rounded Corners 27">
          <a:extLst>
            <a:ext uri="{FF2B5EF4-FFF2-40B4-BE49-F238E27FC236}">
              <a16:creationId xmlns:a16="http://schemas.microsoft.com/office/drawing/2014/main" id="{3D42248E-F3CC-41E9-866D-44F4EF70703B}"/>
            </a:ext>
          </a:extLst>
        </xdr:cNvPr>
        <xdr:cNvSpPr/>
      </xdr:nvSpPr>
      <xdr:spPr>
        <a:xfrm>
          <a:off x="5760720" y="266700"/>
          <a:ext cx="233934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tx1"/>
              </a:solidFill>
              <a:latin typeface="Calibri"/>
              <a:ea typeface="Calibri"/>
              <a:cs typeface="Calibri"/>
            </a:rPr>
            <a:t>$ </a:t>
          </a:r>
          <a:fld id="{083BAE57-DAAB-4A9B-8B83-353231645DAB}" type="TxLink">
            <a:rPr lang="en-US" sz="1400" b="0" i="0" u="none" strike="noStrike">
              <a:solidFill>
                <a:schemeClr val="tx1"/>
              </a:solidFill>
              <a:latin typeface="Calibri"/>
              <a:ea typeface="Calibri"/>
              <a:cs typeface="Calibri"/>
            </a:rPr>
            <a:pPr algn="ctr"/>
            <a:t>25355</a:t>
          </a:fld>
          <a:endParaRPr lang="en-US" sz="1400" b="0" i="0" u="none" strike="noStrike">
            <a:solidFill>
              <a:schemeClr val="tx1"/>
            </a:solidFill>
            <a:latin typeface="Calibri"/>
            <a:ea typeface="Calibri"/>
            <a:cs typeface="Calibri"/>
          </a:endParaRPr>
        </a:p>
        <a:p>
          <a:pPr algn="ctr"/>
          <a:r>
            <a:rPr lang="en-US" sz="1400" b="0" i="0" u="none" strike="noStrike">
              <a:solidFill>
                <a:schemeClr val="tx1"/>
              </a:solidFill>
              <a:latin typeface="Calibri"/>
              <a:ea typeface="Calibri"/>
              <a:cs typeface="Calibri"/>
            </a:rPr>
            <a:t>Total</a:t>
          </a:r>
          <a:r>
            <a:rPr lang="en-US" sz="1400" b="0" i="0" u="none" strike="noStrike" baseline="0">
              <a:solidFill>
                <a:schemeClr val="tx1"/>
              </a:solidFill>
              <a:latin typeface="Calibri"/>
              <a:ea typeface="Calibri"/>
              <a:cs typeface="Calibri"/>
            </a:rPr>
            <a:t> Quantity</a:t>
          </a:r>
          <a:endParaRPr lang="en-US" sz="1400">
            <a:solidFill>
              <a:schemeClr val="tx1"/>
            </a:solidFill>
          </a:endParaRPr>
        </a:p>
      </xdr:txBody>
    </xdr:sp>
    <xdr:clientData/>
  </xdr:twoCellAnchor>
  <xdr:twoCellAnchor editAs="absolute">
    <xdr:from>
      <xdr:col>0</xdr:col>
      <xdr:colOff>60960</xdr:colOff>
      <xdr:row>1</xdr:row>
      <xdr:rowOff>114300</xdr:rowOff>
    </xdr:from>
    <xdr:to>
      <xdr:col>5</xdr:col>
      <xdr:colOff>236220</xdr:colOff>
      <xdr:row>5</xdr:row>
      <xdr:rowOff>91440</xdr:rowOff>
    </xdr:to>
    <xdr:sp macro="" textlink="">
      <xdr:nvSpPr>
        <xdr:cNvPr id="29" name="Rectangle: Rounded Corners 28">
          <a:extLst>
            <a:ext uri="{FF2B5EF4-FFF2-40B4-BE49-F238E27FC236}">
              <a16:creationId xmlns:a16="http://schemas.microsoft.com/office/drawing/2014/main" id="{7806B181-E749-C905-54BD-BF1696F928D2}"/>
            </a:ext>
          </a:extLst>
        </xdr:cNvPr>
        <xdr:cNvSpPr/>
      </xdr:nvSpPr>
      <xdr:spPr>
        <a:xfrm>
          <a:off x="60960" y="297180"/>
          <a:ext cx="3223260" cy="7086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Sales data Analysis Dashboard</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ivo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_data%20(1).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sales_data%20(2.csv"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2.46642222222" createdVersion="8" refreshedVersion="8" minRefreshableVersion="3" recordCount="1000" xr:uid="{3924B147-FAB3-4B18-B13D-0EF1C8689BB7}">
  <cacheSource type="worksheet">
    <worksheetSource ref="A1:S1001" sheet="sales_data (1)" r:id="rId2"/>
  </cacheSource>
  <cacheFields count="19">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Months" numFmtId="0">
      <sharedItems count="12">
        <s v="Feb"/>
        <s v="Apr"/>
        <s v="Sep"/>
        <s v="Aug"/>
        <s v="Mar"/>
        <s v="Jan"/>
        <s v="Jun"/>
        <s v="Oct"/>
        <s v="Nov"/>
        <s v="Dec"/>
        <s v="May"/>
        <s v="Jul"/>
      </sharedItems>
    </cacheField>
    <cacheField name="Days" numFmtId="0">
      <sharedItems count="7">
        <s v="Friday"/>
        <s v="Thursday"/>
        <s v="Saturday"/>
        <s v="Tuesday"/>
        <s v="Monday"/>
        <s v="Sunday"/>
        <s v="Wednesday"/>
      </sharedItems>
    </cacheField>
    <cacheField name="Total_Bill" numFmtId="0">
      <sharedItems containsSemiMixedTypes="0" containsString="0" containsNumber="1" minValue="50.032399999999996" maxValue="226505.5056" count="1000">
        <n v="2502.0450000000001"/>
        <n v="57741.9807"/>
        <n v="6277.4400000000005"/>
        <n v="165493.74659999998"/>
        <n v="7622.9452000000001"/>
        <n v="22771.9712"/>
        <n v="60075.721400000002"/>
        <n v="149877.60480000003"/>
        <n v="21034.71"/>
        <n v="34895.960999999996"/>
        <n v="24425.501100000001"/>
        <n v="43548.043599999997"/>
        <n v="13062.21"/>
        <n v="100566.72"/>
        <n v="37829.651999999995"/>
        <n v="4770.0384000000004"/>
        <n v="65684.083199999994"/>
        <n v="176577.48"/>
        <n v="42873.5798"/>
        <n v="35479.871999999996"/>
        <n v="32458.420800000004"/>
        <n v="41931.648000000001"/>
        <n v="156545.94559999998"/>
        <n v="53127.564399999988"/>
        <n v="53488.11"/>
        <n v="84471.12000000001"/>
        <n v="31047.538499999995"/>
        <n v="19761.664500000003"/>
        <n v="162188.75619999997"/>
        <n v="2731.4386999999997"/>
        <n v="86254.625599999999"/>
        <n v="114343.852"/>
        <n v="6847.456000000001"/>
        <n v="48490.358"/>
        <n v="48348.038399999998"/>
        <n v="7397.0496000000003"/>
        <n v="29192.940799999997"/>
        <n v="50657.2575"/>
        <n v="12545.1648"/>
        <n v="37630.477500000001"/>
        <n v="163674.00000000003"/>
        <n v="46453.805999999997"/>
        <n v="24450.48"/>
        <n v="32808.883199999997"/>
        <n v="16156.454400000002"/>
        <n v="34452.345600000001"/>
        <n v="2034.6080000000002"/>
        <n v="137548.87299999999"/>
        <n v="85167.959999999992"/>
        <n v="106148.86380000001"/>
        <n v="26563.02"/>
        <n v="89545.774499999985"/>
        <n v="115928.64499999999"/>
        <n v="96043.332000000009"/>
        <n v="43311.240000000005"/>
        <n v="71443.514999999999"/>
        <n v="66867.590400000001"/>
        <n v="85713.183000000019"/>
        <n v="80823.147299999997"/>
        <n v="67580.973599999998"/>
        <n v="147973.12"/>
        <n v="83198.544000000009"/>
        <n v="15968.137199999999"/>
        <n v="57888.573599999996"/>
        <n v="167331.80299999999"/>
        <n v="85285.414399999994"/>
        <n v="158079.2175"/>
        <n v="26846.5736"/>
        <n v="90111.571200000006"/>
        <n v="51330.635999999991"/>
        <n v="68754.276500000007"/>
        <n v="46321.958099999996"/>
        <n v="72201.729600000006"/>
        <n v="128196.70080000002"/>
        <n v="93129.392999999996"/>
        <n v="5256.7493999999997"/>
        <n v="97671.248000000007"/>
        <n v="57166.935900000004"/>
        <n v="110228.62890000001"/>
        <n v="23946.131999999998"/>
        <n v="31193.208200000005"/>
        <n v="10750.275"/>
        <n v="30313.251699999997"/>
        <n v="80354.268000000011"/>
        <n v="53964.108800000002"/>
        <n v="1513.6695999999999"/>
        <n v="78671.320200000002"/>
        <n v="13578.741"/>
        <n v="9048.4367999999995"/>
        <n v="92181.720400000006"/>
        <n v="89912.198999999993"/>
        <n v="73688.111000000004"/>
        <n v="17166.89"/>
        <n v="29501.9712"/>
        <n v="27171.778399999999"/>
        <n v="33021.849600000001"/>
        <n v="46159.136099999996"/>
        <n v="38752.043799999999"/>
        <n v="139301.08919999999"/>
        <n v="75134.417400000006"/>
        <n v="22841.913999999997"/>
        <n v="122537.401"/>
        <n v="68309.654999999999"/>
        <n v="19741.008000000002"/>
        <n v="68390.01400000001"/>
        <n v="2489.4289999999996"/>
        <n v="135616.57199999999"/>
        <n v="21857.547599999998"/>
        <n v="104604.9552"/>
        <n v="50380.656000000003"/>
        <n v="13237.6464"/>
        <n v="44770.248"/>
        <n v="26629.584800000001"/>
        <n v="29240.870400000003"/>
        <n v="35720.095999999998"/>
        <n v="3808.3864000000003"/>
        <n v="159192.2524"/>
        <n v="26409.957199999997"/>
        <n v="1527.4386"/>
        <n v="19848.5802"/>
        <n v="129733.68639999999"/>
        <n v="37323.264000000003"/>
        <n v="3684.4416000000001"/>
        <n v="41284.299599999998"/>
        <n v="50823.964800000002"/>
        <n v="12253.0044"/>
        <n v="192694.94999999998"/>
        <n v="8781.7175000000007"/>
        <n v="66144.093000000008"/>
        <n v="9792.4781999999996"/>
        <n v="30358.315200000001"/>
        <n v="114735.23459999998"/>
        <n v="28049.355"/>
        <n v="19347.314999999999"/>
        <n v="77116.031999999992"/>
        <n v="82587.256000000008"/>
        <n v="15312"/>
        <n v="41057.527499999997"/>
        <n v="3493.8164999999995"/>
        <n v="67254.26400000001"/>
        <n v="17164.267"/>
        <n v="9639.7223999999987"/>
        <n v="94499.473499999993"/>
        <n v="48871.715200000006"/>
        <n v="111236.73749999999"/>
        <n v="19971.567000000003"/>
        <n v="91296.1875"/>
        <n v="2279.61"/>
        <n v="144019.35520000002"/>
        <n v="72510.257599999997"/>
        <n v="3334.0996000000005"/>
        <n v="13513.816000000001"/>
        <n v="56874.043999999994"/>
        <n v="65545.441399999996"/>
        <n v="66231.720100000006"/>
        <n v="43610.84"/>
        <n v="20681.959199999998"/>
        <n v="68836.400999999998"/>
        <n v="3177.076"/>
        <n v="10497.8325"/>
        <n v="118172.496"/>
        <n v="116386.4592"/>
        <n v="133.58270000000002"/>
        <n v="40117.842499999999"/>
        <n v="851.47360000000003"/>
        <n v="60304.95"/>
        <n v="4520.4749999999995"/>
        <n v="51181.809000000001"/>
        <n v="91858.357499999998"/>
        <n v="27600.48"/>
        <n v="214585.36190000002"/>
        <n v="58836.274199999993"/>
        <n v="54216.712199999994"/>
        <n v="89141.933100000009"/>
        <n v="94210.998399999997"/>
        <n v="37142.063999999998"/>
        <n v="83940.763200000001"/>
        <n v="4743.3"/>
        <n v="7108.8583999999992"/>
        <n v="44636.794999999998"/>
        <n v="27872.535599999999"/>
        <n v="46312.996799999994"/>
        <n v="2902.9340000000002"/>
        <n v="20667.929399999997"/>
        <n v="155626.8322"/>
        <n v="153486.19520000002"/>
        <n v="84763.435199999993"/>
        <n v="113039.59480000001"/>
        <n v="145003.72319999998"/>
        <n v="36091.590799999998"/>
        <n v="4997.8243999999995"/>
        <n v="120216.1635"/>
        <n v="43099.055999999997"/>
        <n v="49575.233399999997"/>
        <n v="21425.353600000002"/>
        <n v="17414.7575"/>
        <n v="68676.040399999998"/>
        <n v="87754.863999999987"/>
        <n v="33655.679199999999"/>
        <n v="2547.6794999999997"/>
        <n v="79511.763999999996"/>
        <n v="27051.68"/>
        <n v="20417.78"/>
        <n v="194331.44219999999"/>
        <n v="2989.5040000000004"/>
        <n v="18344.119200000001"/>
        <n v="12475.334999999999"/>
        <n v="52547.715000000004"/>
        <n v="144232.31219999999"/>
        <n v="155361.8475"/>
        <n v="127767.81799999998"/>
        <n v="13168.9522"/>
        <n v="2870.9835000000003"/>
        <n v="11230.582499999999"/>
        <n v="112945.53600000001"/>
        <n v="6304.5023999999994"/>
        <n v="3268.8474000000001"/>
        <n v="107508.38399999999"/>
        <n v="125456.85"/>
        <n v="31804.172400000003"/>
        <n v="35079.072"/>
        <n v="42553.565999999999"/>
        <n v="30206.736000000001"/>
        <n v="29779.604400000004"/>
        <n v="10321.3032"/>
        <n v="32106.620000000003"/>
        <n v="24702.78"/>
        <n v="13442.578800000001"/>
        <n v="109568.13600000001"/>
        <n v="32212.857600000003"/>
        <n v="71289.85500000001"/>
        <n v="9930.6143999999986"/>
        <n v="16510.813200000001"/>
        <n v="141892.81200000001"/>
        <n v="120277.27800000001"/>
        <n v="131038.50039999999"/>
        <n v="55018.125"/>
        <n v="5978.9700000000012"/>
        <n v="592.41"/>
        <n v="58927.250800000002"/>
        <n v="29559.683999999997"/>
        <n v="53934.666900000004"/>
        <n v="90245.921999999991"/>
        <n v="122.5389"/>
        <n v="1102.2190000000001"/>
        <n v="80817.092999999993"/>
        <n v="43370.207999999999"/>
        <n v="12485.016600000001"/>
        <n v="53160.75299999999"/>
        <n v="57499.378799999999"/>
        <n v="24768.523999999998"/>
        <n v="109200.6456"/>
        <n v="57579.605999999992"/>
        <n v="105904.92600000001"/>
        <n v="54876.288"/>
        <n v="25282.454399999999"/>
        <n v="176384.27429999999"/>
        <n v="10263.331799999998"/>
        <n v="5037.6525000000001"/>
        <n v="115118.289"/>
        <n v="20741.7834"/>
        <n v="22567.5"/>
        <n v="125776.10500000001"/>
        <n v="62686.289599999996"/>
        <n v="186594.62399999998"/>
        <n v="16948.994999999999"/>
        <n v="176713.83000000002"/>
        <n v="1182.2616"/>
        <n v="10043.088999999998"/>
        <n v="102435.47719999999"/>
        <n v="4109.3891999999996"/>
        <n v="61517.726599999995"/>
        <n v="24607.4192"/>
        <n v="22697.004000000001"/>
        <n v="23578.7922"/>
        <n v="13503.5784"/>
        <n v="96419.75"/>
        <n v="60343.347600000001"/>
        <n v="107175.705"/>
        <n v="20095.808400000002"/>
        <n v="9013.875"/>
        <n v="74554.48000000001"/>
        <n v="23824.843700000001"/>
        <n v="25688.7"/>
        <n v="92303.679999999993"/>
        <n v="60744.23339999999"/>
        <n v="95683.575000000012"/>
        <n v="90875.392999999996"/>
        <n v="17269.848000000002"/>
        <n v="38215.382399999995"/>
        <n v="42639.696000000004"/>
        <n v="8636.9987999999994"/>
        <n v="15159.563999999998"/>
        <n v="36269.159399999997"/>
        <n v="14353.967999999999"/>
        <n v="19546.598300000001"/>
        <n v="7132.2257999999993"/>
        <n v="21803.308800000003"/>
        <n v="36705.295899999997"/>
        <n v="28667.817499999997"/>
        <n v="58977.124800000005"/>
        <n v="44857.175999999999"/>
        <n v="24736.867600000001"/>
        <n v="100143.98999999999"/>
        <n v="156150.45000000001"/>
        <n v="40494.053599999999"/>
        <n v="53120.9"/>
        <n v="64169.247200000005"/>
        <n v="124826.63199999998"/>
        <n v="49189.531299999995"/>
        <n v="38066.725999999995"/>
        <n v="39386.79"/>
        <n v="78566.719000000012"/>
        <n v="134592.48000000001"/>
        <n v="133809.79680000001"/>
        <n v="64064.246399999996"/>
        <n v="30160.799999999999"/>
        <n v="23221.771199999999"/>
        <n v="14227.153799999998"/>
        <n v="2931.152"/>
        <n v="88622.071199999991"/>
        <n v="476.44740000000007"/>
        <n v="28380.555"/>
        <n v="70637.056000000011"/>
        <n v="27707.230800000001"/>
        <n v="4570.1759999999995"/>
        <n v="8559.249600000001"/>
        <n v="15489.076399999998"/>
        <n v="79869.339600000007"/>
        <n v="26455.3344"/>
        <n v="47518.002"/>
        <n v="155625.35659999997"/>
        <n v="11190"/>
        <n v="79549.703999999998"/>
        <n v="49654.771200000003"/>
        <n v="94784.326000000001"/>
        <n v="1570.2528"/>
        <n v="6642.49"/>
        <n v="140013.59849999999"/>
        <n v="32526.519999999997"/>
        <n v="6218.1503999999995"/>
        <n v="106617.44320000001"/>
        <n v="170049.807"/>
        <n v="1301.2076000000002"/>
        <n v="68044.082400000014"/>
        <n v="2880.5183999999999"/>
        <n v="24549.428"/>
        <n v="26433.463200000002"/>
        <n v="18656.253000000001"/>
        <n v="180182.20769999997"/>
        <n v="54488.514000000003"/>
        <n v="25138.641599999999"/>
        <n v="60517.47"/>
        <n v="52159.446000000004"/>
        <n v="5914.7055999999993"/>
        <n v="6336.3503999999994"/>
        <n v="10354.071"/>
        <n v="45341.714"/>
        <n v="102205.0575"/>
        <n v="154752.67079999999"/>
        <n v="59733.36"/>
        <n v="72582.0095"/>
        <n v="35490.819000000003"/>
        <n v="17936.080000000002"/>
        <n v="159658.5276"/>
        <n v="15019.0092"/>
        <n v="17860.762499999997"/>
        <n v="44461.964800000002"/>
        <n v="148039.79189999998"/>
        <n v="135695.85299999997"/>
        <n v="156828.65400000001"/>
        <n v="51874.978500000005"/>
        <n v="1504.5449999999998"/>
        <n v="8251.6299999999992"/>
        <n v="33349.536"/>
        <n v="1185.0047999999999"/>
        <n v="106808.30160000001"/>
        <n v="82781.600000000006"/>
        <n v="9190.2240000000002"/>
        <n v="86090.168499999985"/>
        <n v="12364.592999999999"/>
        <n v="24332.180399999997"/>
        <n v="24343.7376"/>
        <n v="80471.727000000014"/>
        <n v="40839.940799999997"/>
        <n v="58063.904999999992"/>
        <n v="17534.556000000004"/>
        <n v="54207.878400000001"/>
        <n v="23613.3423"/>
        <n v="32179.477200000001"/>
        <n v="30297.311999999994"/>
        <n v="68407.672000000006"/>
        <n v="24838.7958"/>
        <n v="9705.8303999999989"/>
        <n v="3137.6928000000003"/>
        <n v="49959.63"/>
        <n v="16266.130100000002"/>
        <n v="49417.165200000003"/>
        <n v="14199.136100000002"/>
        <n v="148217.24160000001"/>
        <n v="18202.852800000001"/>
        <n v="938.26520000000005"/>
        <n v="23195.221599999997"/>
        <n v="64049.068399999996"/>
        <n v="21086.351999999999"/>
        <n v="15814.6"/>
        <n v="88611.097600000008"/>
        <n v="93720"/>
        <n v="21634.686000000002"/>
        <n v="86175.81"/>
        <n v="62879.684999999998"/>
        <n v="1293.7408"/>
        <n v="49561.458000000006"/>
        <n v="53289.205200000004"/>
        <n v="32719.564799999996"/>
        <n v="10867.6271"/>
        <n v="18643.6224"/>
        <n v="157353.72659999999"/>
        <n v="3499.8054000000002"/>
        <n v="11735.539200000001"/>
        <n v="21412.62"/>
        <n v="74415.674299999999"/>
        <n v="7381.9535999999998"/>
        <n v="113383.4328"/>
        <n v="76461.991200000004"/>
        <n v="123934.7886"/>
        <n v="109688.4111"/>
        <n v="1025.3178"/>
        <n v="30201.594400000002"/>
        <n v="37890.939999999995"/>
        <n v="5848.4546"/>
        <n v="59866.532000000007"/>
        <n v="13262.49"/>
        <n v="45883.167199999996"/>
        <n v="89211.19709999999"/>
        <n v="17817.87"/>
        <n v="77943.45"/>
        <n v="59595.493999999999"/>
        <n v="121581.72199999999"/>
        <n v="57169.440000000002"/>
        <n v="119656.85759999999"/>
        <n v="153286.3076"/>
        <n v="41318.375"/>
        <n v="16292.428999999998"/>
        <n v="32934.354599999991"/>
        <n v="149727.50099999999"/>
        <n v="103299.43999999999"/>
        <n v="101464.70399999998"/>
        <n v="59432.8128"/>
        <n v="52276.995000000003"/>
        <n v="40397.845600000001"/>
        <n v="88432.382499999992"/>
        <n v="174384.8064"/>
        <n v="140654.4062"/>
        <n v="17303.600000000002"/>
        <n v="14914.97"/>
        <n v="1809.0512000000001"/>
        <n v="33306.605199999998"/>
        <n v="91903.77"/>
        <n v="23513.267400000001"/>
        <n v="15234.683199999999"/>
        <n v="11596.608"/>
        <n v="21353.928400000001"/>
        <n v="19207.4738"/>
        <n v="3424.5120000000002"/>
        <n v="23152.123200000002"/>
        <n v="132466.63500000001"/>
        <n v="47700.219599999997"/>
        <n v="30636.243000000006"/>
        <n v="12653.4208"/>
        <n v="93923.915399999998"/>
        <n v="58822.873200000002"/>
        <n v="122664.52800000001"/>
        <n v="25315.492799999996"/>
        <n v="1213.5552"/>
        <n v="2054.5164"/>
        <n v="65567.330400000006"/>
        <n v="153818.69700000001"/>
        <n v="2888.2439999999997"/>
        <n v="87972.917400000006"/>
        <n v="73368.859199999992"/>
        <n v="10538.7156"/>
        <n v="24883.076400000002"/>
        <n v="15509.248300000001"/>
        <n v="6307.2415999999994"/>
        <n v="102245.20800000001"/>
        <n v="4473.8559999999998"/>
        <n v="13873.6"/>
        <n v="114261.84"/>
        <n v="79432.358400000012"/>
        <n v="40907.182499999995"/>
        <n v="2900.2416000000003"/>
        <n v="1426.0175999999999"/>
        <n v="6462.2085999999999"/>
        <n v="43476.844799999999"/>
        <n v="62199.072"/>
        <n v="44950.464000000007"/>
        <n v="28258.138999999996"/>
        <n v="58816.225600000005"/>
        <n v="36584.013599999998"/>
        <n v="8831.6496000000006"/>
        <n v="88331.040000000008"/>
        <n v="54124.685999999994"/>
        <n v="28269.0344"/>
        <n v="17269.349999999999"/>
        <n v="31236.207599999998"/>
        <n v="34990.080000000002"/>
        <n v="122819.76"/>
        <n v="102511.40760000001"/>
        <n v="62847.083200000001"/>
        <n v="182278.39860000001"/>
        <n v="3439.8624"/>
        <n v="148231.56080000001"/>
        <n v="8010.2669999999998"/>
        <n v="52037.757599999997"/>
        <n v="57771.532800000008"/>
        <n v="15125.264000000003"/>
        <n v="23398.774000000001"/>
        <n v="9386.2881000000016"/>
        <n v="152181.36449999997"/>
        <n v="128268.71400000001"/>
        <n v="81549.519600000014"/>
        <n v="7367.2874999999995"/>
        <n v="45642.423000000003"/>
        <n v="51625.382399999995"/>
        <n v="100084.4884"/>
        <n v="146613.67020000002"/>
        <n v="30445.280800000004"/>
        <n v="4190.5864000000001"/>
        <n v="16852.147199999999"/>
        <n v="9911.9579999999987"/>
        <n v="159520.71960000001"/>
        <n v="54148.953600000001"/>
        <n v="83027.464000000007"/>
        <n v="37504.119999999995"/>
        <n v="24283.814999999999"/>
        <n v="7958.6999999999989"/>
        <n v="123257.95199999999"/>
        <n v="5534.8832000000002"/>
        <n v="95984.407199999987"/>
        <n v="85226.918399999995"/>
        <n v="44120.063999999998"/>
        <n v="44214.768000000004"/>
        <n v="17680.274999999998"/>
        <n v="132299.23319999999"/>
        <n v="3751.8"/>
        <n v="120017.25449999998"/>
        <n v="47952.473600000005"/>
        <n v="82933.804799999998"/>
        <n v="30433.077000000001"/>
        <n v="51936.658800000005"/>
        <n v="154200.79499999998"/>
        <n v="30115.891"/>
        <n v="152718.91199999998"/>
        <n v="9678.5303999999996"/>
        <n v="13473.02"/>
        <n v="19862.207999999999"/>
        <n v="2236.5612000000001"/>
        <n v="145270.03920000003"/>
        <n v="5918.3670000000002"/>
        <n v="53000.12"/>
        <n v="2806.6781999999998"/>
        <n v="62550.382399999995"/>
        <n v="6651.9044999999996"/>
        <n v="63775.779999999992"/>
        <n v="5559.0651000000007"/>
        <n v="95572.736000000004"/>
        <n v="14906.164000000001"/>
        <n v="1736.2188000000003"/>
        <n v="17262.822500000002"/>
        <n v="3015.0120000000002"/>
        <n v="25590.375"/>
        <n v="1897.1766000000002"/>
        <n v="46886.333400000003"/>
        <n v="57060.079999999994"/>
        <n v="13896.9972"/>
        <n v="46469.579699999995"/>
        <n v="137153.20959999997"/>
        <n v="29266.248"/>
        <n v="38181.764400000007"/>
        <n v="49628.653200000001"/>
        <n v="5818.2074999999995"/>
        <n v="33736.462199999994"/>
        <n v="25064.3835"/>
        <n v="14134.138200000003"/>
        <n v="14895.76"/>
        <n v="6074.6040000000003"/>
        <n v="128205.41159999999"/>
        <n v="81896.349000000002"/>
        <n v="101578.55250000001"/>
        <n v="40524.665999999997"/>
        <n v="46882.063199999997"/>
        <n v="113458.49650000001"/>
        <n v="54199.289799999991"/>
        <n v="44680.671999999999"/>
        <n v="15915.132799999999"/>
        <n v="2374.768"/>
        <n v="25757.776000000002"/>
        <n v="6344.6768000000002"/>
        <n v="1198.6020000000001"/>
        <n v="55772.824800000002"/>
        <n v="36314.801599999999"/>
        <n v="71389.08159999999"/>
        <n v="54903.182400000005"/>
        <n v="61084.732800000005"/>
        <n v="69018.768000000011"/>
        <n v="131916.08039999998"/>
        <n v="25413.359799999998"/>
        <n v="29623.439599999998"/>
        <n v="26313.983999999997"/>
        <n v="500.5104"/>
        <n v="11389.0656"/>
        <n v="9689.2320000000018"/>
        <n v="13505.957600000002"/>
        <n v="3977.2810000000004"/>
        <n v="84805.094400000002"/>
        <n v="11607.411400000001"/>
        <n v="46123.149600000004"/>
        <n v="107357.11679999999"/>
        <n v="1237.0356000000002"/>
        <n v="89762.438699999999"/>
        <n v="28256.391900000002"/>
        <n v="99572.272800000006"/>
        <n v="76770.803200000009"/>
        <n v="2610.6867000000002"/>
        <n v="179731.2806"/>
        <n v="46613.750400000004"/>
        <n v="2583.3233999999998"/>
        <n v="28906.659599999999"/>
        <n v="3019.2396000000003"/>
        <n v="94704.498000000007"/>
        <n v="1507.0175999999999"/>
        <n v="9844.0056000000004"/>
        <n v="188839.45079999999"/>
        <n v="26307.350600000002"/>
        <n v="46449.3848"/>
        <n v="26577.243000000002"/>
        <n v="119230.31600000001"/>
        <n v="90081.951300000015"/>
        <n v="14451.511799999998"/>
        <n v="171032.14800000002"/>
        <n v="9593.2734"/>
        <n v="7363.1232"/>
        <n v="856.70609999999988"/>
        <n v="72867.257400000002"/>
        <n v="21535.605"/>
        <n v="48680.872799999997"/>
        <n v="7031.3280000000004"/>
        <n v="21756.735000000001"/>
        <n v="54583.96"/>
        <n v="2728.614"/>
        <n v="90382.793999999994"/>
        <n v="55114.288"/>
        <n v="2467.8150000000001"/>
        <n v="52535.296799999989"/>
        <n v="13683.155000000001"/>
        <n v="97167.167999999991"/>
        <n v="40588.454999999994"/>
        <n v="68586.9954"/>
        <n v="73792.128000000012"/>
        <n v="47095.950000000004"/>
        <n v="33202.155999999995"/>
        <n v="54633.324099999998"/>
        <n v="55462.982399999994"/>
        <n v="101879.2962"/>
        <n v="14698.5978"/>
        <n v="49143.452800000006"/>
        <n v="3640.14"/>
        <n v="66294.491999999984"/>
        <n v="18530.491999999998"/>
        <n v="47487.824000000008"/>
        <n v="85439.237400000013"/>
        <n v="201532.19130000001"/>
        <n v="45548.495999999999"/>
        <n v="35340.956600000005"/>
        <n v="25944.371200000001"/>
        <n v="111656.25900000001"/>
        <n v="51720.33"/>
        <n v="1107.1831999999999"/>
        <n v="42488.627999999997"/>
        <n v="125961.52799999999"/>
        <n v="38526.262199999997"/>
        <n v="49721.2716"/>
        <n v="95395.809599999993"/>
        <n v="2512.944"/>
        <n v="4251.4500000000007"/>
        <n v="83471.606400000004"/>
        <n v="72918.304000000004"/>
        <n v="106763.67359999999"/>
        <n v="31822.937999999998"/>
        <n v="62192.430299999985"/>
        <n v="4703.5528000000004"/>
        <n v="50.032399999999996"/>
        <n v="34263.435599999997"/>
        <n v="50844.931200000006"/>
        <n v="90044.254799999995"/>
        <n v="1659.9856000000002"/>
        <n v="67520.399400000009"/>
        <n v="39165.453600000001"/>
        <n v="4096.6561999999994"/>
        <n v="4803.7050000000008"/>
        <n v="23875.74"/>
        <n v="17662.536000000004"/>
        <n v="151461.63120000003"/>
        <n v="18298.089599999999"/>
        <n v="49196.400000000009"/>
        <n v="11763.616799999998"/>
        <n v="43363.968000000001"/>
        <n v="57463.475999999995"/>
        <n v="12199.04"/>
        <n v="79440.389999999985"/>
        <n v="10590.148800000001"/>
        <n v="48342.142800000001"/>
        <n v="49491.763200000001"/>
        <n v="33718.994400000003"/>
        <n v="47919.687199999993"/>
        <n v="98863.880800000014"/>
        <n v="20791.461600000002"/>
        <n v="5001.4579999999996"/>
        <n v="14077.0008"/>
        <n v="124274.736"/>
        <n v="50350.419000000002"/>
        <n v="125187.68880000002"/>
        <n v="22246.910400000001"/>
        <n v="54318.426399999997"/>
        <n v="7553.28"/>
        <n v="120238.54919999999"/>
        <n v="47268.187499999993"/>
        <n v="47600.089599999999"/>
        <n v="36864.1086"/>
        <n v="87647.422499999986"/>
        <n v="136671.40800000002"/>
        <n v="16881.175999999999"/>
        <n v="7471.4543999999996"/>
        <n v="86197.619200000001"/>
        <n v="6812.4804000000004"/>
        <n v="46230.579599999997"/>
        <n v="90083.75039999999"/>
        <n v="60521.075999999994"/>
        <n v="62715.190399999999"/>
        <n v="7943.6879999999992"/>
        <n v="2011.8216"/>
        <n v="75865.620599999995"/>
        <n v="100881.144"/>
        <n v="17161.575199999999"/>
        <n v="112179.53760000001"/>
        <n v="30347.611199999999"/>
        <n v="24906.566999999999"/>
        <n v="23500.909800000001"/>
        <n v="8275.9236000000001"/>
        <n v="24826.856000000003"/>
        <n v="51062.9306"/>
        <n v="174563.28"/>
        <n v="40678.630299999997"/>
        <n v="31893.238999999998"/>
        <n v="19166.962499999998"/>
        <n v="173822.37119999999"/>
        <n v="123785.856"/>
        <n v="9928.728000000001"/>
        <n v="93432.767999999982"/>
        <n v="34709.172000000006"/>
        <n v="142733.56240000002"/>
        <n v="102681.3888"/>
        <n v="137454.70199999999"/>
        <n v="169697.06"/>
        <n v="1957.8824999999999"/>
        <n v="38944.125000000007"/>
        <n v="52513.25039999999"/>
        <n v="37892.8128"/>
        <n v="6034.5599999999995"/>
        <n v="5577.558"/>
        <n v="50284.583999999995"/>
        <n v="170382.94200000001"/>
        <n v="78796.95120000001"/>
        <n v="69959.87"/>
        <n v="35836.983"/>
        <n v="54992.13719999999"/>
        <n v="76031.020799999998"/>
        <n v="39962.910899999995"/>
        <n v="45144.128600000004"/>
        <n v="9390.5504000000001"/>
        <n v="9184.7808000000005"/>
        <n v="87128.42"/>
        <n v="46754.635199999997"/>
        <n v="72218.83199999998"/>
        <n v="72223.843999999997"/>
        <n v="14548.918"/>
        <n v="39649.192199999998"/>
        <n v="38084.067299999995"/>
        <n v="10786.266000000001"/>
        <n v="108364.06499999999"/>
        <n v="44364.695200000002"/>
        <n v="96596.332799999989"/>
        <n v="8831.1059999999998"/>
        <n v="109257.78600000001"/>
        <n v="18011.883999999998"/>
        <n v="79190.865000000005"/>
        <n v="85182.732499999998"/>
        <n v="11675.666399999998"/>
        <n v="252.7912"/>
        <n v="26920.893999999997"/>
        <n v="129763.49759999999"/>
        <n v="9104.3015999999989"/>
        <n v="2546.0063999999998"/>
        <n v="5790.9588000000003"/>
        <n v="121906.75769999999"/>
        <n v="214950.2794"/>
        <n v="95570.344800000006"/>
        <n v="21683.288"/>
        <n v="121195.59359999999"/>
        <n v="73058.450400000002"/>
        <n v="40077.576000000001"/>
        <n v="86843.315999999992"/>
        <n v="13126.86"/>
        <n v="168328.1496"/>
        <n v="4892.2964999999995"/>
        <n v="1693.83"/>
        <n v="130061.70880000001"/>
        <n v="1294.1432"/>
        <n v="15572.101999999999"/>
        <n v="5077.9040000000005"/>
        <n v="3525.5009999999993"/>
        <n v="71628.282000000007"/>
        <n v="14009.868"/>
        <n v="23656.2048"/>
        <n v="84783.97080000001"/>
        <n v="95720.400000000009"/>
        <n v="95838.751799999998"/>
        <n v="8655.57"/>
        <n v="109749.15699999999"/>
        <n v="15151.193499999999"/>
        <n v="101113.81200000001"/>
        <n v="33030.025600000001"/>
        <n v="23451.033599999999"/>
        <n v="86296.938000000009"/>
        <n v="74284.127999999997"/>
        <n v="10556.138000000001"/>
        <n v="20995.524000000001"/>
        <n v="17084.542799999999"/>
        <n v="3710.5023999999999"/>
        <n v="83460.88960000001"/>
        <n v="102693.19499999999"/>
        <n v="32630.976899999998"/>
        <n v="176830.67700000003"/>
        <n v="201645.74370000002"/>
        <n v="26400.537799999998"/>
        <n v="13403.39"/>
        <n v="82237.566399999996"/>
        <n v="93544.012799999997"/>
        <n v="129733.53600000002"/>
        <n v="189119.49299999996"/>
        <n v="55609.516599999995"/>
        <n v="60679.707999999999"/>
        <n v="52304.146200000003"/>
        <n v="10633.704"/>
        <n v="22544.721600000001"/>
        <n v="125707.68"/>
        <n v="9010.3520000000008"/>
        <n v="103127.43359999999"/>
        <n v="39115.242399999996"/>
        <n v="32774.010999999999"/>
        <n v="101665.4418"/>
        <n v="15401.973599999999"/>
        <n v="105805.0392"/>
        <n v="3567.7422000000001"/>
        <n v="50447.583999999995"/>
        <n v="74743.049299999999"/>
        <n v="113585.47199999999"/>
        <n v="79331.335200000016"/>
        <n v="45638.592000000004"/>
        <n v="21639.27"/>
        <n v="4176.8903999999993"/>
        <n v="24509.52"/>
        <n v="1713.6822999999997"/>
        <n v="88090.935399999988"/>
        <n v="42997.273199999996"/>
        <n v="102518.5248"/>
        <n v="41870.921399999999"/>
        <n v="31712.611199999999"/>
        <n v="96689.665800000002"/>
        <n v="12383.57"/>
        <n v="43180.0023"/>
        <n v="661.5"/>
        <n v="148431.05199999997"/>
        <n v="155821.62959999999"/>
        <n v="52982.817999999992"/>
        <n v="40828.535999999993"/>
        <n v="95278.932000000001"/>
        <n v="1291.1876999999999"/>
        <n v="150549.16800000001"/>
        <n v="91354.02"/>
        <n v="13719.168"/>
        <n v="182350.6893"/>
        <n v="15527.4028"/>
        <n v="38645.052599999995"/>
        <n v="150315.59789999999"/>
        <n v="2745.5028000000002"/>
        <n v="1276.125"/>
        <n v="46645.960800000008"/>
        <n v="117919.88"/>
        <n v="8876.9519999999993"/>
        <n v="186222.46240000002"/>
        <n v="24458.3328"/>
        <n v="44097.884599999998"/>
        <n v="141629.56200000001"/>
        <n v="33898.32"/>
        <n v="97815.643199999991"/>
        <n v="12643.107199999999"/>
        <n v="30506.772399999998"/>
        <n v="20488.469999999998"/>
        <n v="7923.0527999999995"/>
        <n v="27588.510399999996"/>
        <n v="24751.084800000001"/>
        <n v="114623.65180000001"/>
        <n v="16104.861500000001"/>
        <n v="14595.597599999999"/>
        <n v="32025.842199999999"/>
        <n v="37381.999199999998"/>
        <n v="85436.193599999984"/>
        <n v="45416.186399999999"/>
        <n v="110749.85999999999"/>
        <n v="12422.242499999998"/>
        <n v="54085.247999999992"/>
        <n v="93514.636999999988"/>
        <n v="143616.4853"/>
        <n v="77681.34139999999"/>
        <n v="52892.455000000002"/>
        <n v="12099.803399999999"/>
        <n v="23225.600000000002"/>
        <n v="26018.592599999996"/>
        <n v="20165.241600000001"/>
        <n v="23451.119999999999"/>
        <n v="16099.09"/>
        <n v="34426.769999999997"/>
        <n v="8852.148000000001"/>
        <n v="2809.8867999999998"/>
        <n v="9212.9630000000016"/>
        <n v="2680.0686000000001"/>
        <n v="34933.919999999998"/>
        <n v="106691.11199999999"/>
        <n v="17902.32"/>
        <n v="48693.621599999999"/>
        <n v="67402.241999999998"/>
        <n v="11351.7075"/>
        <n v="3433.2284"/>
        <n v="47234.799999999996"/>
        <n v="129562.5276"/>
        <n v="43245.787199999999"/>
        <n v="25091.156800000001"/>
        <n v="128252.0368"/>
        <n v="25644.5929"/>
        <n v="27186.68"/>
        <n v="167670.12779999999"/>
        <n v="20063.931999999997"/>
        <n v="48427.288800000002"/>
        <n v="39918.4395"/>
        <n v="19489.4208"/>
        <n v="19297.719000000001"/>
        <n v="111322.40459999999"/>
        <n v="4562.8849999999993"/>
        <n v="19555.626"/>
        <n v="24044.900600000001"/>
        <n v="226505.5056"/>
        <n v="42226.398000000001"/>
        <n v="69505.430400000012"/>
        <n v="64854.160799999998"/>
        <n v="3770.7904000000003"/>
        <n v="46601.315199999997"/>
        <n v="2276.7556"/>
        <n v="2598.2271999999998"/>
        <n v="25723.023000000001"/>
        <n v="6193.2287999999999"/>
        <n v="124531.97749999999"/>
        <n v="71999.506800000003"/>
        <n v="5824.6399999999994"/>
        <n v="2292.6716999999999"/>
        <n v="3514.6943999999999"/>
        <n v="110597.17199999999"/>
        <n v="40016.9925"/>
        <n v="159495.97649999999"/>
        <n v="34446.772799999999"/>
        <n v="17055.979200000002"/>
        <n v="4023.9948000000004"/>
        <n v="79863.839999999997"/>
        <n v="188541.85920000001"/>
        <n v="18288.711899999998"/>
        <n v="2172.4160000000002"/>
        <n v="41260.286200000002"/>
        <n v="6735.9923999999992"/>
        <n v="51103.382400000002"/>
        <n v="75167.199599999993"/>
        <n v="18967.768"/>
        <n v="13688.933999999999"/>
        <n v="136121.7525"/>
        <n v="73687.852500000008"/>
        <n v="14038.205199999999"/>
        <n v="51278.7736"/>
        <n v="5684.4056"/>
        <n v="142279.00830000002"/>
        <n v="108672.90239999999"/>
      </sharedItems>
    </cacheField>
    <cacheField name="Profit" numFmtId="0">
      <sharedItems containsSemiMixedTypes="0" containsString="0" containsNumber="1" minValue="17.360000000000127" maxValue="23441.109999999528" count="999">
        <n v="2060.4600000000005"/>
        <n v="6681.8499999999949"/>
        <n v="3295.1999999999994"/>
        <n v="5371.0800000000099"/>
        <n v="719.42000000000041"/>
        <n v="6583.0400000000009"/>
        <n v="6243.1200000000063"/>
        <n v="12058.439999999995"/>
        <n v="10721.699999999702"/>
        <n v="8171.8200000000043"/>
        <n v="1007.3699999999972"/>
        <n v="1575.0900000000047"/>
        <n v="400.68000000000086"/>
        <n v="2411.0999999999967"/>
        <n v="6980.4000000000015"/>
        <n v="17590.079999999998"/>
        <n v="6721.6299999999901"/>
        <n v="5176.8000000000029"/>
        <n v="3037.9099999999976"/>
        <n v="3701.0999999999967"/>
        <n v="368.64000000000033"/>
        <n v="3094.6000000000004"/>
        <n v="21649.319999999989"/>
        <n v="5790.8000000000056"/>
        <n v="8714.7000000000025"/>
        <n v="7650.5999999999995"/>
        <n v="2396.79"/>
        <n v="2657.6999999999975"/>
        <n v="7376.1799999995537"/>
        <n v="26.860000000000127"/>
        <n v="14129.279999999995"/>
        <n v="15080.800000000003"/>
        <n v="1968.3399999999992"/>
        <n v="6842.16"/>
        <n v="7145.6000000000058"/>
        <n v="3678.0300000000007"/>
        <n v="11530.559999999998"/>
        <n v="1978.6499999999978"/>
        <n v="5472.12"/>
        <n v="2826.7800000000025"/>
        <n v="14270.399999999994"/>
        <n v="337.54000000000178"/>
        <n v="2603.3600000000006"/>
        <n v="1166.4000000000015"/>
        <n v="6219.1799999999976"/>
        <n v="2150.159999999998"/>
        <n v="94.649999999999636"/>
        <n v="13535.109999999979"/>
        <n v="17686.799999999985"/>
        <n v="20157.899999999994"/>
        <n v="1146.75"/>
        <n v="14098.889999999617"/>
        <n v="14427.78999999999"/>
        <n v="5526.0599999999922"/>
        <n v="329.12000000000216"/>
        <n v="11484"/>
        <n v="15145.279999999693"/>
        <n v="9272.4599999999937"/>
        <n v="4689.0899999999992"/>
        <n v="5613.9299999999985"/>
        <n v="4312.7999999999884"/>
        <n v="8688.7099999999882"/>
        <n v="2254.5"/>
        <n v="1788.600000000004"/>
        <n v="16727.980000000003"/>
        <n v="5250.3000000000029"/>
        <n v="22108.950000000019"/>
        <n v="1580.9599999999991"/>
        <n v="3983.559999999994"/>
        <n v="8934.659999999516"/>
        <n v="7899.1500000000015"/>
        <n v="483.5600000000004"/>
        <n v="7039.9199999999983"/>
        <n v="14839.159999999985"/>
        <n v="7813.6799999999985"/>
        <n v="48.579999999999927"/>
        <n v="11008.400000000001"/>
        <n v="682.48000000000138"/>
        <n v="13788.839999999998"/>
        <n v="1044.6800000000017"/>
        <n v="7764.75"/>
        <n v="2124.12"/>
        <n v="4913.7799999999979"/>
        <n v="8600.9200000000055"/>
        <n v="2072.8399999999929"/>
        <n v="305.17999999999984"/>
        <n v="16560.019999999997"/>
        <n v="16767.660000000003"/>
        <n v="41.479999999961365"/>
        <n v="6624.8600000000024"/>
        <n v="9423.9600000000009"/>
        <n v="15346.309999999992"/>
        <n v="2150.8599999999992"/>
        <n v="4200.8399999999938"/>
        <n v="1724.7100000000009"/>
        <n v="13361.599999999999"/>
        <n v="4028.4899999999966"/>
        <n v="10190.549999999997"/>
        <n v="16851.600000000013"/>
        <n v="14819.819999999992"/>
        <n v="8556.6499999999978"/>
        <n v="8179.149999999986"/>
        <n v="3828.1200000000013"/>
        <n v="18626.8"/>
        <n v="6573.5599999999995"/>
        <n v="99"/>
        <n v="6643.1400000000031"/>
        <n v="628.0200000000018"/>
        <n v="11494.55999999999"/>
        <n v="17121.199999999997"/>
        <n v="15425.849999999999"/>
        <n v="5603.7599999998856"/>
        <n v="570.88000000000102"/>
        <n v="4733.0400000000009"/>
        <n v="381.27999999999884"/>
        <n v="1716.12"/>
        <n v="7060.0199999999986"/>
        <n v="14047"/>
        <n v="9728.1"/>
        <n v="1985.579999999999"/>
        <n v="7527.5199999999932"/>
        <n v="7703.68"/>
        <n v="5791.2"/>
        <n v="4706.4199999999983"/>
        <n v="5880.48"/>
        <n v="6813.6600000000008"/>
        <n v="557.55000000001473"/>
        <n v="5305.2499999999991"/>
        <n v="2013.4799999999932"/>
        <n v="778.46999999999935"/>
        <n v="530.15999999999804"/>
        <n v="8793.9600000000046"/>
        <n v="1063.2600000000029"/>
        <n v="7054.3200000000015"/>
        <n v="9960.7999999999993"/>
        <n v="16090.399999999991"/>
        <n v="4243.5999999999985"/>
        <n v="6104.3199999998142"/>
        <n v="91.079999999970369"/>
        <n v="2671.9199999999983"/>
        <n v="2316.400000000001"/>
        <n v="568.19999999999891"/>
        <n v="1641.0599999999931"/>
        <n v="5666.8799999999974"/>
        <n v="7679.77"/>
        <n v="2126.1000000000004"/>
        <n v="17465.350000000006"/>
        <n v="5165.88"/>
        <n v="8605.4899999999943"/>
        <n v="21574.519999999997"/>
        <n v="8542.56"/>
        <n v="17558.73"/>
        <n v="864.96000000000186"/>
        <n v="1600.5700000000033"/>
        <n v="9926.510000000002"/>
        <n v="9010.4"/>
        <n v="3787.5600000000013"/>
        <n v="1740.4100000000017"/>
        <n v="266.88000000000011"/>
        <n v="9743.9499999999989"/>
        <n v="3756.4800000000105"/>
        <n v="12715.679999999993"/>
        <n v="28.189999999999998"/>
        <n v="1238.2499999999993"/>
        <n v="678.89999999999986"/>
        <n v="10430.999999999709"/>
        <n v="531.96000000000049"/>
        <n v="2428.6500000000019"/>
        <n v="10217.999999999995"/>
        <n v="2327.5999999998021"/>
        <n v="13503.910000000007"/>
        <n v="10657.240000000002"/>
        <n v="1731.4499999999962"/>
        <n v="15543.989999999676"/>
        <n v="3785.5599999999959"/>
        <n v="4320.7500000000027"/>
        <n v="8957.5800000000017"/>
        <n v="7242.2999999999993"/>
        <n v="6625.8400000000011"/>
        <n v="5145.7499999999982"/>
        <n v="10323.599999999999"/>
        <n v="6548.8800000000028"/>
        <n v="1281.4500000000003"/>
        <n v="817.85999999999967"/>
        <n v="17329.830000000002"/>
        <n v="732.71999999999844"/>
        <n v="1644.4799999999886"/>
        <n v="13362.360000000002"/>
        <n v="8338.7400000000034"/>
        <n v="10973.990000000002"/>
        <n v="1810.2399999999607"/>
        <n v="9712.440000000006"/>
        <n v="7396.0199999999977"/>
        <n v="7076.7899999997953"/>
        <n v="2003.119999999722"/>
        <n v="13479.2"/>
        <n v="2485.7799999999952"/>
        <n v="6739.5999999999913"/>
        <n v="9462.6600000000017"/>
        <n v="818.69999999999993"/>
        <n v="17254.799999999996"/>
        <n v="1143.8999999999987"/>
        <n v="7695.2499999997544"/>
        <n v="2501.9400000000196"/>
        <n v="2600.8000000000002"/>
        <n v="4220.0400000000009"/>
        <n v="1483.0999999999995"/>
        <n v="6320.2499999999918"/>
        <n v="938.31999999965137"/>
        <n v="3083.850000000009"/>
        <n v="11967.340000000011"/>
        <n v="13568.23"/>
        <n v="555.99999999999966"/>
        <n v="3331.4400000000005"/>
        <n v="20858.879999999997"/>
        <n v="530.46"/>
        <n v="337.9399999999905"/>
        <n v="16374.400000000005"/>
        <n v="4131.8999999999869"/>
        <n v="1710.2800000000002"/>
        <n v="288.67999999999847"/>
        <n v="21204.479999999992"/>
        <n v="5515.1999999999989"/>
        <n v="15000.959999999995"/>
        <n v="1267.5000000000014"/>
        <n v="2980.6400000000026"/>
        <n v="479.44000000000233"/>
        <n v="498.39999999999873"/>
        <n v="9357.8999999999942"/>
        <n v="4327.2899999999991"/>
        <n v="17643.989999999994"/>
        <n v="10893.710000000001"/>
        <n v="1204.3500000000004"/>
        <n v="6783.979999999985"/>
        <n v="5672.2199999999975"/>
        <n v="11902.139999999705"/>
        <n v="10077.499999999998"/>
        <n v="2384.3999999999992"/>
        <n v="214.76"/>
        <n v="699.8199999999988"/>
        <n v="6067.2000000000025"/>
        <n v="8551.8099999996339"/>
        <n v="3164.0400000000077"/>
        <n v="232.1"/>
        <n v="428.05999999999995"/>
        <n v="12383.699999999997"/>
        <n v="2044.5600000000027"/>
        <n v="2182.3199999999802"/>
        <n v="3637.950000000003"/>
        <n v="3181.2100000000019"/>
        <n v="4087.1599999999994"/>
        <n v="10234.920000000006"/>
        <n v="10372.250000000005"/>
        <n v="18020.7"/>
        <n v="2833.1199999999953"/>
        <n v="3237.4399999999987"/>
        <n v="8268.2400000000034"/>
        <n v="631.71999999999946"/>
        <n v="4786.3499999999995"/>
        <n v="7749.8199999999924"/>
        <n v="6082.9599999999982"/>
        <n v="6218.09"/>
        <n v="17468.980000000003"/>
        <n v="7736.5300000000025"/>
        <n v="14699.519999999553"/>
        <n v="3760.3999999999987"/>
        <n v="12741.749999999574"/>
        <n v="2936.2799999999997"/>
        <n v="13609.749999999998"/>
        <n v="2855.2199999999866"/>
        <n v="5480.0199999999995"/>
        <n v="4397.3199999995377"/>
        <n v="1833.5999999999221"/>
        <n v="1696.9499999999982"/>
        <n v="9393.3000000000029"/>
        <n v="5718.4399999999987"/>
        <n v="7461.7200000000103"/>
        <n v="1555.8900000000017"/>
        <n v="5469.0999999996575"/>
        <n v="2036.7600000000002"/>
        <n v="855.45000000000073"/>
        <n v="3217.9399999999896"/>
        <n v="4918.13"/>
        <n v="5836.94"/>
        <n v="3630.2500000000009"/>
        <n v="12518.800000000001"/>
        <n v="1236.0399999999991"/>
        <n v="15762.860000000004"/>
        <n v="631.99999999999818"/>
        <n v="6493.5"/>
        <n v="3003.5999999999967"/>
        <n v="2184.9599999999991"/>
        <n v="2839.1999999999989"/>
        <n v="8268.659999999998"/>
        <n v="1183.5200000000004"/>
        <n v="4023.5599999999972"/>
        <n v="5753.58"/>
        <n v="4827.6199999999953"/>
        <n v="1299.3499999999976"/>
        <n v="2885.75"/>
        <n v="9686.5999999999949"/>
        <n v="1538.9999999998554"/>
        <n v="2813.5199999999986"/>
        <n v="6066.8700000000063"/>
        <n v="12427.269999999993"/>
        <n v="5492.9599999999964"/>
        <n v="2469.2500000000064"/>
        <n v="1200.3699999998398"/>
        <n v="10353.350000000013"/>
        <n v="7030.5700000000033"/>
        <n v="3351.0000000000036"/>
        <n v="971.28000000000065"/>
        <n v="2531.9000000000051"/>
        <n v="14662.399999999994"/>
        <n v="12088.319999999985"/>
        <n v="10219"/>
        <n v="1145.600000000004"/>
        <n v="8808.7199999999993"/>
        <n v="4568.75"/>
        <n v="763.13999999999351"/>
        <n v="2749.4200000000023"/>
        <n v="197.86"/>
        <n v="14707.350000000002"/>
        <n v="13887.679999999993"/>
        <n v="10994.039999999644"/>
        <n v="4764.3700000000008"/>
        <n v="398.58000000000038"/>
        <n v="4174.5200000000004"/>
        <n v="12461.969999999998"/>
        <n v="5200.8000000000011"/>
        <n v="6619.2000000000025"/>
        <n v="4960.8500000000085"/>
        <n v="654.39999999999964"/>
        <n v="12562.800000000007"/>
        <n v="5164.6399999999994"/>
        <n v="9875.5999999997275"/>
        <n v="1038.24"/>
        <n v="1704.9599999999991"/>
        <n v="12199.500000000016"/>
        <n v="6264.7000000000007"/>
        <n v="13740.72"/>
        <n v="11929.279999999999"/>
        <n v="3051.8999999999869"/>
        <n v="761.40000000000009"/>
        <n v="1756.7700000000023"/>
        <n v="70.380000000000109"/>
        <n v="1662.239999999998"/>
        <n v="11924.399999999998"/>
        <n v="1435.3500000000008"/>
        <n v="14602.800000000016"/>
        <n v="2943.7600000000011"/>
        <n v="3286.3499999999967"/>
        <n v="10047.179999999997"/>
        <n v="15443.549999999992"/>
        <n v="218.81999999998061"/>
        <n v="3002.880000000001"/>
        <n v="3484.9499999999994"/>
        <n v="14791.480000000003"/>
        <n v="9820.5899999999983"/>
        <n v="19419.119999999988"/>
        <n v="284.32000000000698"/>
        <n v="12868.09999999966"/>
        <n v="13364.7"/>
        <n v="402.199999999998"/>
        <n v="8760.1399999996447"/>
        <n v="1437.9500000000007"/>
        <n v="9520.119999999999"/>
        <n v="6173.3099999996439"/>
        <n v="8003.2600000000111"/>
        <n v="6315.8400000000047"/>
        <n v="8595"/>
        <n v="2027.91"/>
        <n v="2219.6000000000004"/>
        <n v="447.29999999999563"/>
        <n v="2654.2799999999997"/>
        <n v="13345.519999999995"/>
        <n v="7590.4400000000096"/>
        <n v="1457.1999999999989"/>
        <n v="7505.2000000000053"/>
        <n v="5854.8799999999992"/>
        <n v="383.82000000000153"/>
        <n v="6427.5200000000041"/>
        <n v="5381.0399999999954"/>
        <n v="318.42000000000098"/>
        <n v="2796.7499999999973"/>
        <n v="2160.3999999999996"/>
        <n v="4347.1999999999971"/>
        <n v="497.96999999999935"/>
        <n v="2200.0200000000013"/>
        <n v="1075.1999999999998"/>
        <n v="9998.5999999999876"/>
        <n v="66.419999999998254"/>
        <n v="15501.599999999953"/>
        <n v="237.62999999999943"/>
        <n v="19366.620000000006"/>
        <n v="614.6800000000012"/>
        <n v="20553.14"/>
        <n v="5258.9499999999989"/>
        <n v="339.83999999999651"/>
        <n v="1792.239999999998"/>
        <n v="1062.56"/>
        <n v="2358.0700000000006"/>
        <n v="15824.770000000011"/>
        <n v="8817.3299999998126"/>
        <n v="1235.0499999999988"/>
        <n v="5267.8399999999965"/>
        <n v="8724.7599999999984"/>
        <n v="2064.4199999999983"/>
        <n v="15592.149999999658"/>
        <n v="7685.2599999999984"/>
        <n v="129.32999999999993"/>
        <n v="9330.1999999999953"/>
        <n v="1350.1399999999976"/>
        <n v="6781.9199999999546"/>
        <n v="2913.899999999891"/>
        <n v="3733.7299999999977"/>
        <n v="735"/>
        <n v="1177.44"/>
        <n v="1684.7100000000005"/>
        <n v="2509.7999999999984"/>
        <n v="9351.5699999999924"/>
        <n v="2741.9000000000005"/>
        <n v="1093.6200000000108"/>
        <n v="1736.2800000000007"/>
        <n v="23441.109999999528"/>
        <n v="1824.5"/>
        <n v="1655.28"/>
        <n v="5900.8799999999992"/>
        <n v="2517.0999999999958"/>
        <n v="226.85999999999996"/>
        <n v="12011.789999999997"/>
        <n v="990.25000000000091"/>
        <n v="22857.039999999997"/>
        <n v="2023.7699999997858"/>
        <n v="5506.1999999999989"/>
        <n v="5388.7499999999927"/>
        <n v="5640.3200000000015"/>
        <n v="11432.839999999993"/>
        <n v="5201.9999999995562"/>
        <n v="5679.8399999995381"/>
        <n v="17263.570000000018"/>
        <n v="6378.4999999999964"/>
        <n v="2134.3000000000006"/>
        <n v="1300.7399999998643"/>
        <n v="4279.3799999995936"/>
        <n v="697.82000000000335"/>
        <n v="1644.0000000000055"/>
        <n v="11596.849999999997"/>
        <n v="11175.5"/>
        <n v="2109.9400000000005"/>
        <n v="5970.9999999999964"/>
        <n v="3199.1999999999825"/>
        <n v="6814.6200000000099"/>
        <n v="282.39999999990232"/>
        <n v="16086.699999999997"/>
        <n v="3738.02"/>
        <n v="5450.1700000000028"/>
        <n v="9294.1799999999985"/>
        <n v="5077.17"/>
        <n v="5822.2999999999993"/>
        <n v="4652.0999999999995"/>
        <n v="1654.7999999999975"/>
        <n v="7692.16"/>
        <n v="69.840000000000146"/>
        <n v="5197.6799999999985"/>
        <n v="7436.5200000000168"/>
        <n v="8113.6800000000039"/>
        <n v="5181.3299999999972"/>
        <n v="5419.5199999999986"/>
        <n v="16442.930000000008"/>
        <n v="4173.2999999999984"/>
        <n v="14679.349999999995"/>
        <n v="12510.940000000002"/>
        <n v="6236.6399999999994"/>
        <n v="1888.5"/>
        <n v="13522.520000000008"/>
        <n v="18328.319999999992"/>
        <n v="12933.929999999955"/>
        <n v="18982.829999999994"/>
        <n v="12448.799999999996"/>
        <n v="1705.200000000001"/>
        <n v="2377.5600000000013"/>
        <n v="2961.1399999999994"/>
        <n v="317.5600000000004"/>
        <n v="2348.5799999999922"/>
        <n v="544.76000000000022"/>
        <n v="1344.7200000000007"/>
        <n v="4277.8799999999892"/>
        <n v="10120.949999999997"/>
        <n v="7238.5499999999956"/>
        <n v="2894.08"/>
        <n v="3474.7299999999932"/>
        <n v="16552.929999999997"/>
        <n v="7082.1600000000017"/>
        <n v="13572.399999999998"/>
        <n v="4248.7199999999939"/>
        <n v="2497.9500000000012"/>
        <n v="803.24000000000274"/>
        <n v="6027.6900000000023"/>
        <n v="350.70999999999992"/>
        <n v="11494.079999999991"/>
        <n v="1893.5700000000015"/>
        <n v="2297.1999999999243"/>
        <n v="1284.6000000000004"/>
        <n v="432.11999999974296"/>
        <n v="3004.7999999999956"/>
        <n v="10963.079999999991"/>
        <n v="11922.960000000005"/>
        <n v="12917.469999999717"/>
        <n v="11613.230000000007"/>
        <n v="4403.16"/>
        <n v="6107.2200000000148"/>
        <n v="5330.0999999999694"/>
        <n v="2421.6699999999992"/>
        <n v="4565.5999999999913"/>
        <n v="2297.9599999999982"/>
        <n v="513.39999999999691"/>
        <n v="2419.5499999999993"/>
        <n v="16056.000000000007"/>
        <n v="6896.7999999999865"/>
        <n v="1380.1100000000042"/>
        <n v="656.66999999999962"/>
        <n v="3401.0999999999967"/>
        <n v="12155.399999999994"/>
        <n v="7733.8499999999876"/>
        <n v="15845.619999999992"/>
        <n v="8303.57"/>
        <n v="1642.81"/>
        <n v="20566.14"/>
        <n v="4185.7199999999793"/>
        <n v="5215.5200000000013"/>
        <n v="5846.579999999999"/>
        <n v="1631.25"/>
        <n v="1431.9999999999982"/>
        <n v="5326.7499999997544"/>
        <n v="2301.5999999999995"/>
        <n v="16241.399999999659"/>
        <n v="671.51999999999953"/>
        <n v="1354.3200000000088"/>
        <n v="10857.279999999999"/>
        <n v="5141.760000000002"/>
        <n v="7286.7600000000029"/>
        <n v="2071.8499999999995"/>
        <n v="15675.120000000003"/>
        <n v="6387.5999999999694"/>
        <n v="15837.749999999562"/>
        <n v="2687.3599999999924"/>
        <n v="11492.409999999991"/>
        <n v="3260.9400000000028"/>
        <n v="194.48000000000047"/>
        <n v="3565.5600000000031"/>
        <n v="11315.220000000001"/>
        <n v="8241.1200000000026"/>
        <n v="5044.1599999999798"/>
        <n v="22464.120000000003"/>
        <n v="16582.32"/>
        <n v="1462.41"/>
        <n v="4385.1599999999844"/>
        <n v="8089.4399999999987"/>
        <n v="17250.100000000002"/>
        <n v="1652.28"/>
        <n v="14965.740000000003"/>
        <n v="2038.35"/>
        <n v="8047.7999999998065"/>
        <n v="2877.66"/>
        <n v="8215.039999999979"/>
        <n v="157.80000000000109"/>
        <n v="8258.5800000000017"/>
        <n v="1557.8499999999985"/>
        <n v="2088.3999999999996"/>
        <n v="7063.9900000000025"/>
        <n v="3761.559999999999"/>
        <n v="9902.3099999999959"/>
        <n v="7961.1399999997875"/>
        <n v="1179.6400000000012"/>
        <n v="13757.890000000003"/>
        <n v="1597.6399999999976"/>
        <n v="2110.0400000000018"/>
        <n v="1236.2999999999988"/>
        <n v="14623.559999999994"/>
        <n v="2937.0599999999113"/>
        <n v="18778.620000000006"/>
        <n v="11442.409999999996"/>
        <n v="1813.630000000001"/>
        <n v="1984"/>
        <n v="2667.4100000000008"/>
        <n v="17566.919999999591"/>
        <n v="6573.8999999999896"/>
        <n v="10164.280000000002"/>
        <n v="12822.599999999655"/>
        <n v="6731.3399999999992"/>
        <n v="2444.3499999999831"/>
        <n v="4313.9500000000035"/>
        <n v="8838.0999999999967"/>
        <n v="13632.96"/>
        <n v="454.7800000000002"/>
        <n v="4601.9000000000005"/>
        <n v="451.5600000000004"/>
        <n v="557.79999999999995"/>
        <n v="9604.3199999999961"/>
        <n v="5026.8999999998341"/>
        <n v="15376.320000000007"/>
        <n v="5336.9599999999991"/>
        <n v="4258.0800000000017"/>
        <n v="991.75999999999749"/>
        <n v="8296.4699999996283"/>
        <n v="4855.53"/>
        <n v="16192.509999999997"/>
        <n v="2689.4399999999987"/>
        <n v="110.56000000000006"/>
        <n v="1131.4599999998914"/>
        <n v="1502.549999999999"/>
        <n v="649.56000000000131"/>
        <n v="3108.7000000000003"/>
        <n v="10132.460000000001"/>
        <n v="17402.690000000002"/>
        <n v="4808.3999999999978"/>
        <n v="4402.3100000000068"/>
        <n v="7562.4500000000007"/>
        <n v="2550.2399999999916"/>
        <n v="1922.9099999999994"/>
        <n v="8330.2799999999934"/>
        <n v="1933.4400000000023"/>
        <n v="367.75999999999976"/>
        <n v="9388.25"/>
        <n v="11042.079999999991"/>
        <n v="10563.84"/>
        <n v="690.41000000000076"/>
        <n v="740.06"/>
        <n v="5609.1000000000076"/>
        <n v="6012"/>
        <n v="188.03999999999905"/>
        <n v="13761"/>
        <n v="6389.1299999999992"/>
        <n v="5084.2999999999993"/>
        <n v="5254.3700000000008"/>
        <n v="17533.599999999988"/>
        <n v="15346.269999999995"/>
        <n v="3956.5900000000006"/>
        <n v="6015.6000000000131"/>
        <n v="995.52000000000044"/>
        <n v="1285.44"/>
        <n v="241.68"/>
        <n v="20989.079999999991"/>
        <n v="8503.9200000000019"/>
        <n v="10837.820000000003"/>
        <n v="302.39999999999964"/>
        <n v="14990.079999999998"/>
        <n v="548.79999999999563"/>
        <n v="112.77999999999975"/>
        <n v="782.99999999999727"/>
        <n v="5091.8000000000029"/>
        <n v="11563.399999999998"/>
        <n v="1137.3599999997296"/>
        <n v="9085"/>
        <n v="3932.4800000000105"/>
        <n v="3457.5"/>
        <n v="20627.460000000006"/>
        <n v="13945.599999999995"/>
        <n v="14611.08"/>
        <n v="6170.059999999874"/>
        <n v="10188.910000000009"/>
        <n v="14873.880000000005"/>
        <n v="20090.620000000003"/>
        <n v="6835.38"/>
        <n v="2209.2799999999988"/>
        <n v="21322.35"/>
        <n v="8049.5799999997871"/>
        <n v="2352.7999999999997"/>
        <n v="9892.1499999999978"/>
        <n v="10807.019999999993"/>
        <n v="11400.460000000017"/>
        <n v="5255.6800000000076"/>
        <n v="12897.899999999998"/>
        <n v="10072.959999999995"/>
        <n v="7140.6399999999849"/>
        <n v="9432.7499999999982"/>
        <n v="733.02000000000021"/>
        <n v="3823.6800000000039"/>
        <n v="7452.0000000000073"/>
        <n v="1879.6499999999951"/>
        <n v="5826.1200000000026"/>
        <n v="1691.819999999756"/>
        <n v="1274.1299999999999"/>
        <n v="2512.7999999999997"/>
        <n v="13440"/>
        <n v="3066.7999999999938"/>
        <n v="6994.0800000000017"/>
        <n v="844.80000000000018"/>
        <n v="13881.269999999622"/>
        <n v="253.4399999999996"/>
        <n v="200.45000000000002"/>
        <n v="8186.7600000000029"/>
        <n v="10721.759999999995"/>
        <n v="5711.8500000000049"/>
        <n v="162.31999999999994"/>
        <n v="8274.2099999999955"/>
        <n v="6745.8999999999987"/>
        <n v="615.54"/>
        <n v="14263.939999999999"/>
        <n v="6332.0999999999985"/>
        <n v="331.43999999999869"/>
        <n v="12306.939999999995"/>
        <n v="4214.5599999999995"/>
        <n v="5684.1999999999916"/>
        <n v="5728.32"/>
        <n v="4342.7999999999956"/>
        <n v="9709.3499999997985"/>
        <n v="1112.5999999999999"/>
        <n v="20162.259999999998"/>
        <n v="348.87999999999943"/>
        <n v="2017.609999999999"/>
        <n v="7718.2199999999993"/>
        <n v="7655.2800000000007"/>
        <n v="5266.0999999998676"/>
        <n v="3828.7399999999889"/>
        <n v="3278.0400000000009"/>
        <n v="8167.2800000000007"/>
        <n v="1904.2799999999979"/>
        <n v="8680.6800000000039"/>
        <n v="21613.05"/>
        <n v="12287.520000000006"/>
        <n v="10005.599999999999"/>
        <n v="5146.260000000002"/>
        <n v="5926.0800000000008"/>
        <n v="1771.5600000000013"/>
        <n v="4653.4999999997581"/>
        <n v="13779.200000000004"/>
        <n v="4091.3400000000006"/>
        <n v="2996.9999999995662"/>
        <n v="6112.4399999999987"/>
        <n v="2360.1999999998043"/>
        <n v="8341.02"/>
        <n v="16541.399999999991"/>
        <n v="764.52000000000044"/>
        <n v="921.37999999999874"/>
        <n v="11524.479999999996"/>
        <n v="14196.150000000001"/>
        <n v="7769.1199999999953"/>
        <n v="1419.4499999999994"/>
        <n v="699.31999999999971"/>
        <n v="5550.7199999999939"/>
        <n v="19593.600000000006"/>
        <n v="4917.08"/>
        <n v="13231.529999999999"/>
        <n v="3965.8300000000017"/>
        <n v="5241.1799999998648"/>
        <n v="2265.7800000000007"/>
        <n v="1985.6400000000003"/>
        <n v="3952.3199999999997"/>
        <n v="2624.1199999998398"/>
        <n v="6154.6500000000196"/>
        <n v="521.87000000000126"/>
        <n v="2096.5"/>
        <n v="1970.1499999999987"/>
        <n v="495.87999999998829"/>
        <n v="4760.9599999999919"/>
        <n v="6628.3499999999985"/>
        <n v="13239.159999999574"/>
        <n v="5233.4499999999989"/>
        <n v="8513.6500000000033"/>
        <n v="16049.089999999991"/>
        <n v="4535.0800000000072"/>
        <n v="13980.459999999986"/>
        <n v="335.90000000000003"/>
        <n v="14914.799999999992"/>
        <n v="4783.3199999999961"/>
        <n v="8654.4400000000041"/>
        <n v="11175.2"/>
        <n v="3243.1000000000004"/>
        <n v="1395.2999999999997"/>
        <n v="13847.719999999998"/>
        <n v="16092.119999999995"/>
        <n v="12851.050000000007"/>
        <n v="1378.9999999999952"/>
        <n v="3303.9499999998361"/>
        <n v="12979.119999999999"/>
        <n v="4873.309999999814"/>
        <n v="15383.779999999992"/>
        <n v="10514.91"/>
        <n v="14021.119999999999"/>
        <n v="10235.599999999995"/>
        <n v="2917.8499999999976"/>
        <n v="3528.9999999999964"/>
        <n v="12681.200000000006"/>
        <n v="753.09999999995171"/>
        <n v="1191.9599999999964"/>
        <n v="5352.2399999997151"/>
        <n v="581.03999999999814"/>
        <n v="8765.2499999997635"/>
        <n v="9670.760000000002"/>
        <n v="5425.4199999997927"/>
        <n v="402.52000000000044"/>
        <n v="20494.800000000003"/>
        <n v="121.34999999999991"/>
        <n v="10445.21999999999"/>
        <n v="11298.500000000002"/>
        <n v="1829.6800000000003"/>
        <n v="279.84000000000003"/>
        <n v="9455.8000000000029"/>
        <n v="5016.8799999999992"/>
        <n v="6092.01"/>
        <n v="7763.52"/>
        <n v="1502.71"/>
        <n v="16033.290000000005"/>
        <n v="21187.600000000009"/>
        <n v="9435.5999999999913"/>
        <n v="1163.0300000000002"/>
        <n v="1522.7900000000063"/>
        <n v="7973.4200000000019"/>
        <n v="607.68000000000029"/>
        <n v="11888.799999999661"/>
        <n v="5398.1999999999989"/>
        <n v="15399.419999999978"/>
        <n v="897.54000000000019"/>
        <n v="217.11999999999989"/>
        <n v="5096.2099999995435"/>
        <n v="159.78999999999996"/>
        <n v="4539.17"/>
        <n v="658.84000000000015"/>
        <n v="11366.550000000001"/>
        <n v="7718.1999999999971"/>
        <n v="2919.7199999999993"/>
        <n v="1200.4799999999996"/>
        <n v="1300.3600000000042"/>
        <n v="8609.7599999999948"/>
        <n v="12348.93"/>
        <n v="674.01000000000022"/>
        <n v="14375.199999999993"/>
        <n v="1395.8500000000004"/>
        <n v="12571.199999999986"/>
        <n v="20875.800000000003"/>
        <n v="527.51999999999771"/>
        <n v="4672.7999999999884"/>
        <n v="13893.75"/>
        <n v="2707.6"/>
        <n v="1885.2299999999123"/>
        <n v="13340.339999999998"/>
        <n v="484.39999999996053"/>
        <n v="5794.4299999999876"/>
        <n v="13366.5"/>
        <n v="1467.1799999997338"/>
        <n v="11420.55"/>
        <n v="5973.1299999999937"/>
        <n v="4744.349999999873"/>
        <n v="1337.4400000000014"/>
        <n v="9838.399999999996"/>
        <n v="6192.4799999999959"/>
        <n v="5029.9399999999987"/>
        <n v="10108.350000000006"/>
        <n v="4626.1599999999944"/>
        <n v="9467.3100000000031"/>
        <n v="5641.6699999998154"/>
        <n v="2123.0399999999208"/>
        <n v="667.11999999999898"/>
        <n v="1769.4600000000046"/>
        <n v="9552.66"/>
        <n v="13644.48000000001"/>
        <n v="4833.6600000000017"/>
        <n v="9340.2999999999975"/>
        <n v="8606.4500000000044"/>
        <n v="5200.26"/>
        <n v="4474.9600000000046"/>
        <n v="411.21"/>
        <n v="9339.7999999999956"/>
        <n v="3863.2699999999986"/>
        <n v="19124.160000000003"/>
        <n v="5724.4199999999901"/>
        <n v="3920.6399999999921"/>
        <n v="6568.7999999999975"/>
        <n v="942.70999999999992"/>
        <n v="5838.139999999863"/>
        <n v="3189.4500000000007"/>
        <n v="7999.1599999999962"/>
        <n v="11186.700000000006"/>
        <n v="11839.230000000007"/>
        <n v="344.0799999999972"/>
        <n v="5240.2000000000035"/>
        <n v="14930.079999999996"/>
        <n v="16281.949999999999"/>
        <n v="354.35000000000173"/>
        <n v="1579.98"/>
        <n v="12396.53999999999"/>
        <n v="7844.3400000000111"/>
        <n v="7630.2800000000016"/>
        <n v="14450.099999999587"/>
        <n v="3130.9600000000046"/>
        <n v="401.48"/>
        <n v="14122.149999999992"/>
        <n v="8539.2000000000007"/>
        <n v="1191.5200000000004"/>
        <n v="7007.7000000000171"/>
        <n v="1724.239999999998"/>
        <n v="3988.4900000000016"/>
        <n v="7248.1500000000142"/>
        <n v="1235.6799999999998"/>
        <n v="4935.4999999999745"/>
        <n v="1910.6400000000031"/>
        <n v="576.68000000000757"/>
        <n v="452.9600000000006"/>
        <n v="5581.1799999999967"/>
        <n v="2509.6799999999985"/>
        <n v="18366.160000000003"/>
        <n v="14846.620000000008"/>
        <n v="6481.8600000000042"/>
        <n v="3115.679999999993"/>
        <n v="1942.2400000000016"/>
        <n v="2290.9900000000002"/>
        <n v="6353.0000000000027"/>
        <n v="899.79999999996107"/>
        <n v="1286.449999999893"/>
        <n v="2365.4399999999987"/>
        <n v="791.83999999999287"/>
        <n v="598.08000000000038"/>
        <n v="16358.52"/>
        <n v="1423.1800000000012"/>
        <n v="6709.0799999999972"/>
        <n v="12289.340000000009"/>
        <n v="10224.650000000005"/>
        <n v="20049.3"/>
        <n v="8634.4299999999985"/>
        <n v="762.44000000000051"/>
        <n v="12546.540000000008"/>
        <n v="18585.209999999992"/>
        <n v="480.22000000000662"/>
        <n v="6983.749999999759"/>
        <n v="12478.7"/>
        <n v="4603.8899999999994"/>
        <n v="396.3299999999997"/>
        <n v="554.39999999999918"/>
        <n v="2998.0999999999981"/>
        <n v="1203.3000000000006"/>
        <n v="11745.299999999655"/>
        <n v="10719.3"/>
        <n v="2720.48"/>
        <n v="7571.46"/>
        <n v="679.59000000000026"/>
        <n v="1279.8399999998437"/>
        <n v="17686.080000000002"/>
        <n v="11912.7"/>
        <n v="9374.25"/>
        <n v="19269.000000000004"/>
        <n v="5569.65"/>
        <n v="20344.879999999997"/>
        <n v="5565.2500000000036"/>
        <n v="14300.160000000007"/>
        <n v="20994.959999999584"/>
        <n v="17165.34"/>
        <n v="2506.0999999996475"/>
        <n v="6071.5400000000009"/>
        <n v="7444.9999999999991"/>
        <n v="4005.1199999999862"/>
        <n v="3372.7400000000011"/>
        <n v="2112.6599999999944"/>
        <n v="1649"/>
        <n v="8251.7400000000016"/>
        <n v="11659.55"/>
        <n v="1679.3600000000015"/>
        <n v="3031.1000000000004"/>
        <n v="3048.8999999999032"/>
        <n v="291.26999999999771"/>
        <n v="23353.919999999998"/>
        <n v="10509.659999999998"/>
        <n v="7676.0999999999931"/>
        <n v="8740.3800000000047"/>
        <n v="309.25999999999931"/>
        <n v="6138.44"/>
        <n v="5125.4999999999654"/>
        <n v="1042.2400000000002"/>
        <n v="6889.7599999999993"/>
        <n v="137.72000000000025"/>
        <n v="13143.810000000003"/>
        <n v="10538.319999999992"/>
        <n v="347.5600000000004"/>
        <n v="17.360000000000127"/>
        <n v="1142.6100000000001"/>
        <n v="8945.6999999997151"/>
        <n v="699.83999999999378"/>
        <n v="7658.0000000000064"/>
        <n v="2245.1199999999953"/>
        <n v="7282.7999999999984"/>
        <n v="2744.74"/>
        <n v="7416.3600000000079"/>
        <n v="16829.769999999975"/>
        <n v="12722.399999999998"/>
        <n v="13834.239999999998"/>
        <n v="4011"/>
        <n v="3798.7199999999993"/>
        <n v="4848.1999999999898"/>
        <n v="2065.6700000000005"/>
        <n v="995.35999999999694"/>
        <n v="12155.499999999998"/>
        <n v="6453.0999999999876"/>
        <n v="4178.1800000000057"/>
        <n v="1996.4799999999996"/>
        <n v="3776.9599999996353"/>
        <n v="1403.3499999999992"/>
        <n v="2276.0399999999872"/>
        <n v="14116.799999999996"/>
      </sharedItems>
    </cacheField>
    <cacheField name="Profit_after_discount" numFmtId="0">
      <sharedItems containsSemiMixedTypes="0" containsString="0" containsNumber="1" minValue="17.186400000000127" maxValue="23120.380799999999" count="1000">
        <n v="1875.0186000000006"/>
        <n v="5946.8464999999951"/>
        <n v="2636.16"/>
        <n v="5263.6584000000094"/>
        <n v="661.86640000000045"/>
        <n v="5200.6016000000009"/>
        <n v="5369.0832000000055"/>
        <n v="10611.427199999996"/>
        <n v="10185.614999999716"/>
        <n v="7109.4834000000037"/>
        <n v="775.67489999999782"/>
        <n v="1449.0828000000045"/>
        <n v="400.68000000000086"/>
        <n v="1928.8799999999974"/>
        <n v="4956.0840000000007"/>
        <n v="14423.865599999999"/>
        <n v="6452.7647999999899"/>
        <n v="4659.1200000000026"/>
        <n v="2248.053399999998"/>
        <n v="3442.0229999999965"/>
        <n v="302.2848000000003"/>
        <n v="2723.2480000000005"/>
        <n v="20350.360799999988"/>
        <n v="4401.0080000000044"/>
        <n v="6797.4660000000022"/>
        <n v="6120.48"/>
        <n v="2229.0146999999997"/>
        <n v="2577.9689999999973"/>
        <n v="6122.2293999996291"/>
        <n v="22.293800000000104"/>
        <n v="13281.523199999994"/>
        <n v="14779.184000000003"/>
        <n v="1928.9731999999992"/>
        <n v="4789.5119999999997"/>
        <n v="5430.6560000000045"/>
        <n v="2648.1816000000003"/>
        <n v="10838.726399999998"/>
        <n v="1404.8414999999984"/>
        <n v="5253.2352000000001"/>
        <n v="2402.7630000000022"/>
        <n v="10702.799999999996"/>
        <n v="303.78600000000159"/>
        <n v="2264.9232000000006"/>
        <n v="1119.7440000000013"/>
        <n v="5970.4127999999973"/>
        <n v="1741.6295999999986"/>
        <n v="75.719999999999715"/>
        <n v="10422.034699999984"/>
        <n v="14680.043999999987"/>
        <n v="16327.898999999996"/>
        <n v="1146.75"/>
        <n v="13393.945499999636"/>
        <n v="10099.452999999992"/>
        <n v="5415.5387999999921"/>
        <n v="263.29600000000175"/>
        <n v="10909.8"/>
        <n v="11813.318399999762"/>
        <n v="7325.2433999999957"/>
        <n v="4360.8536999999988"/>
        <n v="5164.815599999999"/>
        <n v="3450.2399999999907"/>
        <n v="7646.0647999999901"/>
        <n v="2119.23"/>
        <n v="1395.1080000000031"/>
        <n v="15891.581000000002"/>
        <n v="3885.222000000002"/>
        <n v="18792.607500000016"/>
        <n v="1533.5311999999992"/>
        <n v="3147.0123999999955"/>
        <n v="7505.1143999995929"/>
        <n v="7188.2265000000016"/>
        <n v="420.69720000000035"/>
        <n v="6406.3271999999988"/>
        <n v="13652.027199999988"/>
        <n v="7422.9959999999983"/>
        <n v="43.236199999999933"/>
        <n v="10127.728000000001"/>
        <n v="539.15920000000108"/>
        <n v="10893.183599999998"/>
        <n v="887.97800000000143"/>
        <n v="5978.8575000000001"/>
        <n v="1593.09"/>
        <n v="4078.437399999998"/>
        <n v="6966.7452000000048"/>
        <n v="1907.0127999999936"/>
        <n v="222.78139999999988"/>
        <n v="16394.419799999996"/>
        <n v="15090.894000000004"/>
        <n v="32.354399999969864"/>
        <n v="6492.3628000000026"/>
        <n v="8952.7620000000006"/>
        <n v="12583.974199999995"/>
        <n v="1785.2137999999993"/>
        <n v="3276.6551999999951"/>
        <n v="1310.7796000000008"/>
        <n v="12827.135999999999"/>
        <n v="3988.2050999999965"/>
        <n v="8050.5344999999979"/>
        <n v="15334.956000000013"/>
        <n v="12004.054199999995"/>
        <n v="8128.8174999999974"/>
        <n v="7034.0689999999877"/>
        <n v="3253.902000000001"/>
        <n v="15273.976000000001"/>
        <n v="5587.5259999999998"/>
        <n v="84.149999999999991"/>
        <n v="5978.8260000000028"/>
        <n v="615.45960000000173"/>
        <n v="11149.723199999991"/>
        <n v="14895.443999999998"/>
        <n v="13729.0065"/>
        <n v="4763.1959999999026"/>
        <n v="519.50080000000094"/>
        <n v="3739.1016000000009"/>
        <n v="282.14719999999915"/>
        <n v="1561.6692"/>
        <n v="6636.4187999999986"/>
        <n v="13625.59"/>
        <n v="7977.0420000000013"/>
        <n v="1727.4545999999991"/>
        <n v="7075.8687999999929"/>
        <n v="6162.9440000000004"/>
        <n v="5559.5519999999997"/>
        <n v="3906.3285999999985"/>
        <n v="4939.6031999999996"/>
        <n v="5314.6548000000012"/>
        <n v="546.39900000001444"/>
        <n v="3872.8324999999991"/>
        <n v="1590.6491999999946"/>
        <n v="731.76179999999931"/>
        <n v="498.3503999999981"/>
        <n v="7650.7452000000039"/>
        <n v="797.44500000000221"/>
        <n v="5290.7400000000016"/>
        <n v="8367.0719999999983"/>
        <n v="11906.895999999993"/>
        <n v="4243.5999999999985"/>
        <n v="6043.2767999998159"/>
        <n v="66.48839999997837"/>
        <n v="2057.3783999999987"/>
        <n v="1992.1040000000007"/>
        <n v="437.51399999999916"/>
        <n v="1165.1525999999951"/>
        <n v="4363.4975999999979"/>
        <n v="5759.8275000000003"/>
        <n v="1637.0970000000002"/>
        <n v="16592.082500000004"/>
        <n v="3874.41"/>
        <n v="8089.1605999999938"/>
        <n v="15749.399599999997"/>
        <n v="7346.6015999999991"/>
        <n v="14046.984"/>
        <n v="735.2160000000016"/>
        <n v="1552.5529000000031"/>
        <n v="9033.1241000000027"/>
        <n v="6307.28"/>
        <n v="2689.1676000000007"/>
        <n v="1566.3690000000015"/>
        <n v="186.81600000000006"/>
        <n v="7307.9624999999996"/>
        <n v="3080.313600000009"/>
        <n v="12588.523199999992"/>
        <n v="20.578699999999998"/>
        <n v="1027.7474999999995"/>
        <n v="502.38599999999991"/>
        <n v="7823.2499999997817"/>
        <n v="398.97000000000037"/>
        <n v="1918.6335000000015"/>
        <n v="9298.3799999999956"/>
        <n v="2094.8399999998219"/>
        <n v="12288.558100000007"/>
        <n v="10550.667600000001"/>
        <n v="1437.1034999999968"/>
        <n v="12279.752099999745"/>
        <n v="2801.314399999997"/>
        <n v="4147.9200000000028"/>
        <n v="7524.3672000000015"/>
        <n v="7242.2999999999993"/>
        <n v="6427.064800000001"/>
        <n v="5042.8349999999982"/>
        <n v="8052.4079999999994"/>
        <n v="6417.9024000000027"/>
        <n v="1012.3455000000002"/>
        <n v="760.60979999999961"/>
        <n v="12824.074200000001"/>
        <n v="556.86719999999877"/>
        <n v="1167.580799999992"/>
        <n v="9754.5228000000006"/>
        <n v="6003.8928000000024"/>
        <n v="8120.7526000000007"/>
        <n v="1430.0895999999691"/>
        <n v="9226.8180000000048"/>
        <n v="6804.3383999999978"/>
        <n v="6652.1825999998073"/>
        <n v="1642.5583999997723"/>
        <n v="11457.32"/>
        <n v="1839.4771999999964"/>
        <n v="4785.1159999999936"/>
        <n v="8327.140800000001"/>
        <n v="695.89499999999987"/>
        <n v="12250.907999999996"/>
        <n v="1052.3879999999988"/>
        <n v="5848.3899999998139"/>
        <n v="2326.8042000000182"/>
        <n v="2080.6400000000003"/>
        <n v="3882.4368000000009"/>
        <n v="1082.6629999999996"/>
        <n v="5245.8074999999926"/>
        <n v="882.02079999967225"/>
        <n v="2867.9805000000083"/>
        <n v="10172.239000000009"/>
        <n v="9633.443299999999"/>
        <n v="428.11999999999972"/>
        <n v="2831.7240000000002"/>
        <n v="18772.991999999998"/>
        <n v="445.58640000000003"/>
        <n v="263.59319999999258"/>
        <n v="12444.544000000004"/>
        <n v="3718.7099999999882"/>
        <n v="1334.0184000000002"/>
        <n v="230.94399999999879"/>
        <n v="15055.180799999995"/>
        <n v="3970.9439999999991"/>
        <n v="11400.729599999997"/>
        <n v="988.65000000000111"/>
        <n v="2742.1888000000026"/>
        <n v="359.58000000000175"/>
        <n v="433.60799999999887"/>
        <n v="8609.2679999999946"/>
        <n v="3808.0151999999994"/>
        <n v="13232.992499999997"/>
        <n v="10457.961600000001"/>
        <n v="1035.7410000000002"/>
        <n v="5766.3829999999871"/>
        <n v="5615.4977999999974"/>
        <n v="11188.011599999722"/>
        <n v="7558.1249999999982"/>
        <n v="1788.2999999999993"/>
        <n v="195.4316"/>
        <n v="517.8667999999991"/>
        <n v="4671.7440000000024"/>
        <n v="7440.0746999996818"/>
        <n v="2467.9512000000059"/>
        <n v="164.791"/>
        <n v="368.13159999999993"/>
        <n v="11516.840999999997"/>
        <n v="1472.0832000000019"/>
        <n v="1789.5023999999839"/>
        <n v="3528.811500000003"/>
        <n v="2640.4043000000015"/>
        <n v="3474.0859999999993"/>
        <n v="7573.8408000000036"/>
        <n v="8712.6900000000041"/>
        <n v="16579.044000000002"/>
        <n v="2266.4959999999965"/>
        <n v="2719.449599999999"/>
        <n v="7689.4632000000029"/>
        <n v="524.32759999999951"/>
        <n v="3589.7624999999998"/>
        <n v="7672.3217999999924"/>
        <n v="4927.1975999999986"/>
        <n v="5596.2809999999999"/>
        <n v="15896.771800000004"/>
        <n v="6808.1464000000024"/>
        <n v="13229.567999999597"/>
        <n v="2820.2999999999993"/>
        <n v="11722.409999999609"/>
        <n v="2290.2983999999997"/>
        <n v="13201.457499999999"/>
        <n v="2027.2061999999903"/>
        <n v="4438.8162000000002"/>
        <n v="3473.8827999996352"/>
        <n v="1668.5759999999293"/>
        <n v="1493.3159999999984"/>
        <n v="8735.7690000000021"/>
        <n v="4117.2767999999987"/>
        <n v="6342.4620000000086"/>
        <n v="1260.2709000000013"/>
        <n v="4265.8979999997327"/>
        <n v="1812.7164000000002"/>
        <n v="667.25100000000054"/>
        <n v="2574.3519999999917"/>
        <n v="3885.3227000000002"/>
        <n v="4961.3989999999994"/>
        <n v="3230.922500000001"/>
        <n v="11642.484"/>
        <n v="927.02999999999929"/>
        <n v="12925.545200000004"/>
        <n v="549.83999999999844"/>
        <n v="4675.32"/>
        <n v="2973.5639999999967"/>
        <n v="1616.8703999999993"/>
        <n v="1987.4399999999991"/>
        <n v="6036.1217999999981"/>
        <n v="899.47520000000031"/>
        <n v="3580.9683999999975"/>
        <n v="5350.8293999999996"/>
        <n v="3765.5435999999963"/>
        <n v="1182.408499999998"/>
        <n v="2741.4625000000001"/>
        <n v="7361.8159999999962"/>
        <n v="1400.4899999998684"/>
        <n v="2053.8695999999991"/>
        <n v="4550.1525000000047"/>
        <n v="9320.4524999999958"/>
        <n v="4229.5791999999974"/>
        <n v="1827.2450000000047"/>
        <n v="912.28119999987825"/>
        <n v="8489.7470000000121"/>
        <n v="6397.8187000000034"/>
        <n v="2446.2300000000027"/>
        <n v="728.46000000000049"/>
        <n v="2177.4340000000043"/>
        <n v="14515.775999999994"/>
        <n v="9791.5391999999883"/>
        <n v="10014.619999999999"/>
        <n v="824.83200000000284"/>
        <n v="6254.1911999999993"/>
        <n v="4294.625"/>
        <n v="610.51199999999483"/>
        <n v="2666.9374000000021"/>
        <n v="154.33080000000001"/>
        <n v="13236.615000000002"/>
        <n v="11110.143999999995"/>
        <n v="9784.6955999996844"/>
        <n v="4573.7952000000005"/>
        <n v="350.75040000000035"/>
        <n v="4049.2844000000005"/>
        <n v="10343.435099999997"/>
        <n v="5148.7920000000013"/>
        <n v="5560.1280000000015"/>
        <n v="3621.4205000000061"/>
        <n v="490.79999999999973"/>
        <n v="9296.4720000000052"/>
        <n v="3718.5407999999993"/>
        <n v="9579.3319999997348"/>
        <n v="996.71039999999994"/>
        <n v="1415.1167999999991"/>
        <n v="8905.6350000000111"/>
        <n v="4447.9369999999999"/>
        <n v="13603.3128"/>
        <n v="10617.0592"/>
        <n v="2868.7859999999873"/>
        <n v="586.27800000000013"/>
        <n v="1422.9837000000018"/>
        <n v="67.564800000000105"/>
        <n v="1412.9039999999982"/>
        <n v="9420.275999999998"/>
        <n v="1105.2195000000006"/>
        <n v="14456.772000000015"/>
        <n v="2148.9448000000007"/>
        <n v="2727.670499999997"/>
        <n v="7635.8567999999977"/>
        <n v="11737.097999999994"/>
        <n v="205.69079999998175"/>
        <n v="2912.7936000000009"/>
        <n v="2718.2609999999995"/>
        <n v="14051.906000000003"/>
        <n v="7365.4424999999992"/>
        <n v="15146.913599999991"/>
        <n v="213.24000000000524"/>
        <n v="11709.97099999969"/>
        <n v="12161.877"/>
        <n v="321.7599999999984"/>
        <n v="8672.5385999996488"/>
        <n v="1548.7523999999994"/>
        <n v="1078.4625000000005"/>
        <n v="8377.7055999999993"/>
        <n v="4753.4486999997262"/>
        <n v="7603.0970000000107"/>
        <n v="5684.256000000004"/>
        <n v="6102.45"/>
        <n v="1419.537"/>
        <n v="1886.6600000000003"/>
        <n v="322.05599999999686"/>
        <n v="2229.5951999999997"/>
        <n v="12144.423199999996"/>
        <n v="6983.2048000000095"/>
        <n v="1049.1839999999993"/>
        <n v="7129.9400000000051"/>
        <n v="4859.5503999999992"/>
        <n v="318.57060000000126"/>
        <n v="5013.4656000000032"/>
        <n v="4573.8839999999964"/>
        <n v="292.94640000000089"/>
        <n v="2656.9124999999972"/>
        <n v="1749.9239999999998"/>
        <n v="3390.815999999998"/>
        <n v="413.31509999999946"/>
        <n v="1716.0156000000011"/>
        <n v="1032.1919999999998"/>
        <n v="7398.9639999999908"/>
        <n v="55.128599999998549"/>
        <n v="14881.535999999955"/>
        <n v="204.3617999999995"/>
        <n v="14524.965000000004"/>
        <n v="448.71640000000087"/>
        <n v="18908.888800000001"/>
        <n v="4154.5704999999989"/>
        <n v="329.64479999999662"/>
        <n v="1774.317599999998"/>
        <n v="881.92479999999989"/>
        <n v="1862.8753000000006"/>
        <n v="12026.825200000008"/>
        <n v="7935.5969999998315"/>
        <n v="1235.0499999999988"/>
        <n v="4530.3423999999968"/>
        <n v="8724.7599999999984"/>
        <n v="2002.4873999999982"/>
        <n v="14032.934999999692"/>
        <n v="6686.176199999999"/>
        <n v="118.98359999999994"/>
        <n v="7744.0659999999953"/>
        <n v="1323.1371999999976"/>
        <n v="6510.6431999999559"/>
        <n v="2301.9809999999138"/>
        <n v="3584.3807999999976"/>
        <n v="595.35"/>
        <n v="1153.8912"/>
        <n v="1482.5448000000004"/>
        <n v="2384.3099999999981"/>
        <n v="9071.0228999999927"/>
        <n v="2275.7770000000005"/>
        <n v="787.40640000000781"/>
        <n v="1701.5544000000007"/>
        <n v="20393.765699999589"/>
        <n v="1441.355"/>
        <n v="1423.5408"/>
        <n v="4484.6687999999995"/>
        <n v="2391.2449999999958"/>
        <n v="161.07059999999996"/>
        <n v="10570.375199999997"/>
        <n v="891.22500000000082"/>
        <n v="16914.209599999998"/>
        <n v="1679.7290999998222"/>
        <n v="4680.2699999999986"/>
        <n v="4203.2249999999949"/>
        <n v="4681.4656000000014"/>
        <n v="10861.197999999993"/>
        <n v="4161.5999999996448"/>
        <n v="5452.6463999995567"/>
        <n v="13120.313200000013"/>
        <n v="4464.9499999999971"/>
        <n v="1899.5270000000005"/>
        <n v="1131.6437999998818"/>
        <n v="4236.5861999995977"/>
        <n v="697.82000000000335"/>
        <n v="1183.6800000000039"/>
        <n v="11132.975999999997"/>
        <n v="9722.6849999999995"/>
        <n v="1603.5544000000004"/>
        <n v="4358.8299999999972"/>
        <n v="2687.3279999999854"/>
        <n v="5656.1346000000076"/>
        <n v="225.91999999992186"/>
        <n v="11421.556999999997"/>
        <n v="3065.1764000000003"/>
        <n v="4523.6411000000026"/>
        <n v="9294.1799999999985"/>
        <n v="4975.6265999999996"/>
        <n v="4832.5089999999991"/>
        <n v="3349.5119999999993"/>
        <n v="1224.5519999999981"/>
        <n v="5461.4335999999994"/>
        <n v="58.665600000000119"/>
        <n v="3950.2367999999988"/>
        <n v="5577.3900000000122"/>
        <n v="6572.0808000000034"/>
        <n v="4663.1969999999974"/>
        <n v="4660.7871999999988"/>
        <n v="12167.768200000006"/>
        <n v="3797.7029999999986"/>
        <n v="10569.131999999996"/>
        <n v="11635.174200000001"/>
        <n v="4864.5792000000001"/>
        <n v="1529.6850000000002"/>
        <n v="10547.565600000007"/>
        <n v="15945.638399999993"/>
        <n v="9312.4295999999667"/>
        <n v="15376.092299999997"/>
        <n v="11328.407999999996"/>
        <n v="1381.2120000000009"/>
        <n v="2163.5796000000014"/>
        <n v="2694.6373999999996"/>
        <n v="279.45280000000037"/>
        <n v="1737.9491999999941"/>
        <n v="463.04600000000016"/>
        <n v="1075.7760000000005"/>
        <n v="3764.5343999999905"/>
        <n v="9311.2739999999976"/>
        <n v="5139.3704999999964"/>
        <n v="2373.1456000000003"/>
        <n v="2501.8055999999951"/>
        <n v="15559.754199999996"/>
        <n v="6798.8736000000017"/>
        <n v="10043.575999999999"/>
        <n v="3398.9759999999951"/>
        <n v="2348.0730000000008"/>
        <n v="738.98080000000255"/>
        <n v="4581.0444000000016"/>
        <n v="301.61059999999992"/>
        <n v="9195.2639999999938"/>
        <n v="1704.2130000000013"/>
        <n v="2044.5079999999327"/>
        <n v="899.22000000000014"/>
        <n v="401.87159999976092"/>
        <n v="2554.0799999999963"/>
        <n v="8222.309999999994"/>
        <n v="11088.352800000004"/>
        <n v="11367.373599999752"/>
        <n v="9522.8486000000066"/>
        <n v="3786.7175999999999"/>
        <n v="5252.209200000013"/>
        <n v="4743.7889999999725"/>
        <n v="1985.7693999999995"/>
        <n v="3698.1359999999931"/>
        <n v="1838.3679999999986"/>
        <n v="503.13199999999694"/>
        <n v="1959.8354999999995"/>
        <n v="11399.760000000004"/>
        <n v="5793.3119999999881"/>
        <n v="1090.2869000000035"/>
        <n v="545.03609999999969"/>
        <n v="2516.8139999999976"/>
        <n v="8751.8879999999954"/>
        <n v="7269.8189999999877"/>
        <n v="13785.689399999992"/>
        <n v="7307.1415999999999"/>
        <n v="1445.6728000000001"/>
        <n v="19743.4944"/>
        <n v="3181.1471999999844"/>
        <n v="5163.3648000000012"/>
        <n v="4911.127199999999"/>
        <n v="1305"/>
        <n v="1346.0799999999981"/>
        <n v="3888.5274999998205"/>
        <n v="1726.1999999999996"/>
        <n v="13967.603999999707"/>
        <n v="590.93759999999963"/>
        <n v="1259.5176000000081"/>
        <n v="8468.6783999999989"/>
        <n v="4936.0896000000021"/>
        <n v="5829.4080000000031"/>
        <n v="1553.8874999999996"/>
        <n v="14577.861600000002"/>
        <n v="4726.8239999999769"/>
        <n v="15679.372499999567"/>
        <n v="1961.7727999999945"/>
        <n v="11032.71359999999"/>
        <n v="2641.3614000000025"/>
        <n v="178.92160000000044"/>
        <n v="2674.1700000000023"/>
        <n v="9617.9369999999999"/>
        <n v="7911.4752000000026"/>
        <n v="4186.6527999999835"/>
        <n v="19768.425600000002"/>
        <n v="13265.856"/>
        <n v="1082.1834000000001"/>
        <n v="3858.9407999999862"/>
        <n v="7361.3903999999993"/>
        <n v="17250.100000000002"/>
        <n v="1371.3924"/>
        <n v="13169.851200000003"/>
        <n v="1814.1315"/>
        <n v="7645.4099999998161"/>
        <n v="2503.5641999999998"/>
        <n v="5750.5279999999848"/>
        <n v="143.59800000000101"/>
        <n v="6772.035600000002"/>
        <n v="1199.5444999999988"/>
        <n v="1628.9519999999998"/>
        <n v="6357.5910000000022"/>
        <n v="3084.4791999999993"/>
        <n v="7327.709399999997"/>
        <n v="7961.1399999997875"/>
        <n v="1026.286800000001"/>
        <n v="12794.837700000002"/>
        <n v="1405.9231999999979"/>
        <n v="1856.8352000000016"/>
        <n v="964.31399999999906"/>
        <n v="14184.853199999994"/>
        <n v="2496.5009999999247"/>
        <n v="15586.254600000004"/>
        <n v="9726.0484999999971"/>
        <n v="1414.6314000000009"/>
        <n v="1745.92"/>
        <n v="1920.5352000000005"/>
        <n v="15107.551199999647"/>
        <n v="5456.3369999999913"/>
        <n v="7623.2100000000019"/>
        <n v="11796.791999999683"/>
        <n v="6596.7131999999992"/>
        <n v="1931.0364999999867"/>
        <n v="3709.997000000003"/>
        <n v="6451.8129999999974"/>
        <n v="9679.4015999999992"/>
        <n v="400.2064000000002"/>
        <n v="4049.6720000000005"/>
        <n v="397.37280000000038"/>
        <n v="502.02"/>
        <n v="7395.3263999999972"/>
        <n v="3870.7129999998724"/>
        <n v="13223.635200000006"/>
        <n v="5283.5903999999991"/>
        <n v="3874.8528000000019"/>
        <n v="902.50159999999778"/>
        <n v="6305.3171999997176"/>
        <n v="4709.8640999999998"/>
        <n v="12306.307599999998"/>
        <n v="2151.5519999999992"/>
        <n v="86.236800000000045"/>
        <n v="984.37019999990548"/>
        <n v="1202.0399999999993"/>
        <n v="532.6392000000011"/>
        <n v="2393.6990000000001"/>
        <n v="8815.2402000000002"/>
        <n v="14966.313400000001"/>
        <n v="3894.8039999999983"/>
        <n v="4270.2407000000067"/>
        <n v="6579.3315000000002"/>
        <n v="1810.6703999999938"/>
        <n v="1903.6808999999994"/>
        <n v="7580.5547999999944"/>
        <n v="1759.4304000000022"/>
        <n v="297.88559999999984"/>
        <n v="9106.6024999999991"/>
        <n v="8944.0847999999933"/>
        <n v="10246.924800000001"/>
        <n v="669.69770000000074"/>
        <n v="577.24680000000001"/>
        <n v="5048.1900000000069"/>
        <n v="4268.5199999999995"/>
        <n v="186.15959999999907"/>
        <n v="11972.07"/>
        <n v="6197.4560999999994"/>
        <n v="4525.0269999999991"/>
        <n v="3678.0590000000002"/>
        <n v="12799.527999999991"/>
        <n v="15192.807299999995"/>
        <n v="3283.9697000000006"/>
        <n v="4872.6360000000113"/>
        <n v="935.78880000000038"/>
        <n v="1234.0224000000001"/>
        <n v="176.4264"/>
        <n v="14902.246799999994"/>
        <n v="5952.7440000000006"/>
        <n v="8236.7432000000026"/>
        <n v="241.91999999999973"/>
        <n v="13491.071999999998"/>
        <n v="521.35999999999581"/>
        <n v="110.52439999999974"/>
        <n v="618.56999999999789"/>
        <n v="3869.7680000000023"/>
        <n v="8672.5499999999993"/>
        <n v="830.2727999998026"/>
        <n v="6722.9"/>
        <n v="2752.7360000000072"/>
        <n v="3215.4749999999999"/>
        <n v="15883.144200000006"/>
        <n v="11435.391999999996"/>
        <n v="13442.193600000001"/>
        <n v="4380.7425999999105"/>
        <n v="7437.9043000000065"/>
        <n v="14278.924800000004"/>
        <n v="19889.713800000001"/>
        <n v="5399.9502000000002"/>
        <n v="1811.6095999999991"/>
        <n v="15352.091999999999"/>
        <n v="7486.1093999998011"/>
        <n v="2282.2159999999999"/>
        <n v="9100.7779999999984"/>
        <n v="10698.949799999993"/>
        <n v="11286.455400000017"/>
        <n v="3836.6464000000055"/>
        <n v="11479.130999999998"/>
        <n v="8864.2047999999959"/>
        <n v="7069.233599999985"/>
        <n v="8678.1299999999992"/>
        <n v="557.0952000000002"/>
        <n v="3135.4176000000034"/>
        <n v="5738.0400000000054"/>
        <n v="1635.2954999999956"/>
        <n v="5301.7692000000025"/>
        <n v="1454.96519999979"/>
        <n v="1146.7169999999999"/>
        <n v="1884.6"/>
        <n v="12230.4"/>
        <n v="2453.4399999999951"/>
        <n v="6714.3168000000014"/>
        <n v="667.39200000000017"/>
        <n v="10133.327099999724"/>
        <n v="207.82079999999968"/>
        <n v="166.37350000000001"/>
        <n v="5812.5996000000014"/>
        <n v="8684.6255999999958"/>
        <n v="5254.9020000000046"/>
        <n v="147.71119999999993"/>
        <n v="6536.6258999999964"/>
        <n v="5261.8019999999988"/>
        <n v="560.14139999999998"/>
        <n v="12837.545999999998"/>
        <n v="4432.4699999999984"/>
        <n v="321.4967999999987"/>
        <n v="10830.107199999995"/>
        <n v="4130.2687999999998"/>
        <n v="4263.1499999999942"/>
        <n v="5556.4703999999992"/>
        <n v="3474.2399999999966"/>
        <n v="9515.1629999998022"/>
        <n v="890.07999999999993"/>
        <n v="15121.695"/>
        <n v="307.01439999999951"/>
        <n v="1694.7923999999991"/>
        <n v="6792.0335999999998"/>
        <n v="6966.3048000000008"/>
        <n v="4002.2359999998994"/>
        <n v="3522.4407999999898"/>
        <n v="2556.871200000001"/>
        <n v="7677.2431999999999"/>
        <n v="1770.9803999999979"/>
        <n v="7812.6120000000037"/>
        <n v="17722.701000000001"/>
        <n v="10567.267200000006"/>
        <n v="7804.3679999999995"/>
        <n v="4837.4844000000012"/>
        <n v="5926.0800000000008"/>
        <n v="1364.101200000001"/>
        <n v="3490.1249999998186"/>
        <n v="13503.616000000004"/>
        <n v="3354.8988000000008"/>
        <n v="2667.3299999996138"/>
        <n v="4645.4543999999987"/>
        <n v="1746.5479999998552"/>
        <n v="6172.3548000000001"/>
        <n v="12736.877999999993"/>
        <n v="703.35840000000042"/>
        <n v="700.24879999999905"/>
        <n v="9680.5631999999969"/>
        <n v="13912.227000000001"/>
        <n v="6681.4431999999961"/>
        <n v="1022.0039999999995"/>
        <n v="510.50359999999978"/>
        <n v="5384.1983999999939"/>
        <n v="15283.008000000005"/>
        <n v="3736.9807999999998"/>
        <n v="12173.007599999999"/>
        <n v="3410.6138000000014"/>
        <n v="4140.5321999998932"/>
        <n v="1971.2286000000006"/>
        <n v="1926.0708000000002"/>
        <n v="3122.3328000000001"/>
        <n v="1915.607599999883"/>
        <n v="4923.7200000000157"/>
        <n v="401.83990000000097"/>
        <n v="1865.885"/>
        <n v="1871.6424999999988"/>
        <n v="401.66279999999051"/>
        <n v="4284.8639999999932"/>
        <n v="4904.9789999999985"/>
        <n v="12709.593599999591"/>
        <n v="4553.1014999999989"/>
        <n v="7492.0120000000034"/>
        <n v="11555.344799999993"/>
        <n v="4308.3260000000064"/>
        <n v="13980.459999999986"/>
        <n v="312.387"/>
        <n v="11186.099999999995"/>
        <n v="4496.3207999999959"/>
        <n v="8048.629200000003"/>
        <n v="10728.192000000001"/>
        <n v="2562.0490000000004"/>
        <n v="1367.3939999999998"/>
        <n v="12462.947999999999"/>
        <n v="14804.750399999997"/>
        <n v="10666.371500000005"/>
        <n v="1075.6199999999963"/>
        <n v="2775.3179999998624"/>
        <n v="9344.9663999999993"/>
        <n v="3460.0500999998676"/>
        <n v="13691.564199999993"/>
        <n v="8096.4807000000001"/>
        <n v="10936.473599999999"/>
        <n v="7471.9879999999957"/>
        <n v="2538.5294999999978"/>
        <n v="2964.3599999999969"/>
        <n v="11159.456000000006"/>
        <n v="557.29399999996429"/>
        <n v="1108.5227999999966"/>
        <n v="4977.5831999997345"/>
        <n v="517.12559999999837"/>
        <n v="8151.6824999997798"/>
        <n v="8026.7308000000012"/>
        <n v="5208.4031999998006"/>
        <n v="362.26800000000043"/>
        <n v="14961.204000000002"/>
        <n v="106.78799999999993"/>
        <n v="8147.2715999999928"/>
        <n v="10959.545000000002"/>
        <n v="1701.6024000000002"/>
        <n v="212.67840000000004"/>
        <n v="7280.9660000000022"/>
        <n v="4414.8543999999993"/>
        <n v="4325.3270999999995"/>
        <n v="5667.3696"/>
        <n v="1066.9241"/>
        <n v="13948.962300000005"/>
        <n v="19916.344000000008"/>
        <n v="7642.8359999999939"/>
        <n v="918.79370000000017"/>
        <n v="1461.878400000006"/>
        <n v="6059.7992000000013"/>
        <n v="601.60320000000024"/>
        <n v="10224.367999999708"/>
        <n v="4858.3799999999992"/>
        <n v="12011.547599999984"/>
        <n v="816.76140000000021"/>
        <n v="162.83999999999992"/>
        <n v="4178.8921999996255"/>
        <n v="121.44039999999997"/>
        <n v="3177.4189999999999"/>
        <n v="527.07200000000012"/>
        <n v="7956.585"/>
        <n v="7641.0179999999973"/>
        <n v="2627.7479999999996"/>
        <n v="1164.4655999999995"/>
        <n v="1196.3312000000039"/>
        <n v="6457.3199999999961"/>
        <n v="12225.440700000001"/>
        <n v="566.16840000000013"/>
        <n v="11931.415999999994"/>
        <n v="1158.5555000000002"/>
        <n v="10811.231999999987"/>
        <n v="15865.608000000002"/>
        <n v="506.41919999999777"/>
        <n v="4252.2479999999896"/>
        <n v="11392.875"/>
        <n v="2139.0039999999999"/>
        <n v="1659.0023999999228"/>
        <n v="9871.8515999999981"/>
        <n v="426.27199999996526"/>
        <n v="5099.0983999999889"/>
        <n v="13232.834999999999"/>
        <n v="1217.7593999997789"/>
        <n v="9022.2345000000005"/>
        <n v="5793.9360999999935"/>
        <n v="4317.3584999998848"/>
        <n v="1029.8288000000011"/>
        <n v="8756.1759999999958"/>
        <n v="5759.0063999999957"/>
        <n v="4023.9519999999993"/>
        <n v="9501.8490000000056"/>
        <n v="3377.0967999999957"/>
        <n v="9183.2907000000032"/>
        <n v="4456.919299999854"/>
        <n v="1804.5839999999328"/>
        <n v="493.66879999999924"/>
        <n v="1698.6816000000044"/>
        <n v="7642.1280000000006"/>
        <n v="11324.918400000008"/>
        <n v="4156.9476000000013"/>
        <n v="7939.2549999999974"/>
        <n v="6713.0310000000036"/>
        <n v="3744.1871999999998"/>
        <n v="4340.7112000000043"/>
        <n v="407.09789999999998"/>
        <n v="7098.2479999999969"/>
        <n v="3747.3718999999987"/>
        <n v="13386.912000000002"/>
        <n v="4636.780199999992"/>
        <n v="3136.5119999999938"/>
        <n v="6174.6719999999968"/>
        <n v="876.72029999999984"/>
        <n v="4670.5119999998906"/>
        <n v="2328.2985000000003"/>
        <n v="5679.4035999999969"/>
        <n v="10515.498000000005"/>
        <n v="11365.660800000007"/>
        <n v="337.19839999999726"/>
        <n v="3877.7480000000023"/>
        <n v="13586.372799999997"/>
        <n v="16281.949999999999"/>
        <n v="329.5455000000016"/>
        <n v="1421.982"/>
        <n v="8677.5779999999922"/>
        <n v="6589.2456000000093"/>
        <n v="7172.4632000000011"/>
        <n v="13005.089999999629"/>
        <n v="2817.8640000000041"/>
        <n v="397.46520000000004"/>
        <n v="13557.263999999992"/>
        <n v="6745.9680000000008"/>
        <n v="1143.8592000000003"/>
        <n v="6517.1610000000155"/>
        <n v="1534.5735999999981"/>
        <n v="3071.1373000000012"/>
        <n v="6015.9645000000119"/>
        <n v="976.18719999999996"/>
        <n v="4096.4649999999783"/>
        <n v="1509.4056000000026"/>
        <n v="576.68000000000757"/>
        <n v="326.13120000000043"/>
        <n v="5413.7445999999964"/>
        <n v="2208.5183999999986"/>
        <n v="14141.943200000003"/>
        <n v="12916.559400000007"/>
        <n v="4666.9392000000025"/>
        <n v="2679.4847999999938"/>
        <n v="1437.2576000000013"/>
        <n v="1741.1524000000002"/>
        <n v="4510.6300000000019"/>
        <n v="647.85599999997191"/>
        <n v="939.10849999992183"/>
        <n v="1845.0431999999989"/>
        <n v="704.73759999999368"/>
        <n v="580.13760000000036"/>
        <n v="12923.230800000001"/>
        <n v="1010.4578000000008"/>
        <n v="5233.0823999999984"/>
        <n v="8848.3248000000058"/>
        <n v="7770.734000000004"/>
        <n v="19046.834999999999"/>
        <n v="8030.0198999999984"/>
        <n v="686.19600000000048"/>
        <n v="11919.213000000007"/>
        <n v="15425.724299999993"/>
        <n v="340.95620000000469"/>
        <n v="5377.4874999998146"/>
        <n v="10856.469000000001"/>
        <n v="4603.8899999999994"/>
        <n v="360.66029999999972"/>
        <n v="465.69599999999929"/>
        <n v="2698.2899999999981"/>
        <n v="1167.2010000000005"/>
        <n v="10218.4109999997"/>
        <n v="9861.7559999999994"/>
        <n v="1985.9503999999999"/>
        <n v="7344.3162000000002"/>
        <n v="672.7941000000003"/>
        <n v="1279.8399999998437"/>
        <n v="15917.472000000002"/>
        <n v="9530.1600000000017"/>
        <n v="7311.915"/>
        <n v="16571.340000000004"/>
        <n v="4400.0235000000002"/>
        <n v="18106.943199999998"/>
        <n v="4452.2000000000035"/>
        <n v="14157.158400000008"/>
        <n v="18475.564799999633"/>
        <n v="13045.6584"/>
        <n v="1904.6359999997321"/>
        <n v="4796.5166000000008"/>
        <n v="6998.2999999999984"/>
        <n v="3724.7615999999871"/>
        <n v="2360.9180000000006"/>
        <n v="2049.2801999999947"/>
        <n v="1566.55"/>
        <n v="7921.6704000000009"/>
        <n v="10493.594999999999"/>
        <n v="1578.5984000000012"/>
        <n v="2576.4350000000004"/>
        <n v="2622.0539999999169"/>
        <n v="212.62709999999831"/>
        <n v="23120.380799999999"/>
        <n v="9458.6939999999977"/>
        <n v="6294.4019999999946"/>
        <n v="7167.1116000000047"/>
        <n v="265.96359999999942"/>
        <n v="4665.2143999999998"/>
        <n v="5022.9899999999661"/>
        <n v="792.10240000000022"/>
        <n v="5856.2959999999994"/>
        <n v="132.21120000000025"/>
        <n v="9594.9813000000013"/>
        <n v="8536.0391999999938"/>
        <n v="330.18200000000036"/>
        <n v="17.186400000000127"/>
        <n v="1096.9056"/>
        <n v="7335.4739999997673"/>
        <n v="664.84799999999404"/>
        <n v="7121.9400000000051"/>
        <n v="2222.6687999999954"/>
        <n v="5680.5839999999989"/>
        <n v="2086.0023999999999"/>
        <n v="5636.4336000000058"/>
        <n v="16156.579199999975"/>
        <n v="9287.351999999999"/>
        <n v="11067.392"/>
        <n v="2928.0299999999997"/>
        <n v="3304.8863999999994"/>
        <n v="4217.9339999999911"/>
        <n v="1569.9092000000005"/>
        <n v="965.49919999999702"/>
        <n v="10210.619999999999"/>
        <n v="4839.8249999999907"/>
        <n v="3133.6350000000043"/>
        <n v="1417.5007999999996"/>
        <n v="2983.7983999997118"/>
        <n v="1319.1489999999992"/>
        <n v="2253.2795999999871"/>
        <n v="12140.447999999997"/>
      </sharedItems>
    </cacheField>
  </cacheFields>
  <extLst>
    <ext xmlns:x14="http://schemas.microsoft.com/office/spreadsheetml/2009/9/main" uri="{725AE2AE-9491-48be-B2B4-4EB974FC3084}">
      <x14:pivotCacheDefinition pivotCacheId="17509751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2.534407638886" createdVersion="8" refreshedVersion="8" minRefreshableVersion="3" recordCount="1000" xr:uid="{2608AC46-B464-4E8B-AB32-F11F3FD90824}">
  <cacheSource type="worksheet">
    <worksheetSource ref="A1:S1001" sheet="sales_data (2" r:id="rId2"/>
  </cacheSource>
  <cacheFields count="19">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numFmtId="0">
      <sharedItems count="12">
        <s v="Feb"/>
        <s v="Apr"/>
        <s v="Sep"/>
        <s v="Aug"/>
        <s v="Mar"/>
        <s v="Jan"/>
        <s v="Jun"/>
        <s v="Oct"/>
        <s v="Nov"/>
        <s v="Dec"/>
        <s v="May"/>
        <s v="Jul"/>
      </sharedItems>
    </cacheField>
    <cacheField name="Days" numFmtId="0">
      <sharedItems/>
    </cacheField>
    <cacheField name="Total_Bill" numFmtId="0">
      <sharedItems containsSemiMixedTypes="0" containsString="0" containsNumber="1" minValue="50.032399999999996" maxValue="226505.5056"/>
    </cacheField>
    <cacheField name="Profit" numFmtId="0">
      <sharedItems containsSemiMixedTypes="0" containsString="0" containsNumber="1" minValue="17.360000000000127" maxValue="23441.109999999528"/>
    </cacheField>
    <cacheField name="Profit_after_discount" numFmtId="0">
      <sharedItems containsSemiMixedTypes="0" containsString="0" containsNumber="1" minValue="17.186400000000127" maxValue="23120.380799999999"/>
    </cacheField>
  </cacheFields>
  <extLst>
    <ext xmlns:x14="http://schemas.microsoft.com/office/spreadsheetml/2009/9/main" uri="{725AE2AE-9491-48be-B2B4-4EB974FC3084}">
      <x14:pivotCacheDefinition pivotCacheId="731717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x v="0"/>
    <n v="152.75"/>
    <n v="267.22000000000003"/>
    <x v="0"/>
    <n v="0.09"/>
    <x v="0"/>
    <x v="0"/>
    <s v="North-Bob"/>
    <x v="0"/>
    <x v="0"/>
    <x v="0"/>
    <x v="0"/>
    <x v="0"/>
  </r>
  <r>
    <n v="1093"/>
    <x v="1"/>
    <x v="0"/>
    <x v="1"/>
    <x v="1"/>
    <x v="1"/>
    <x v="0"/>
    <n v="3816.39"/>
    <n v="4209.4399999999996"/>
    <x v="0"/>
    <n v="0.11"/>
    <x v="0"/>
    <x v="1"/>
    <s v="West-Bob"/>
    <x v="1"/>
    <x v="0"/>
    <x v="1"/>
    <x v="1"/>
    <x v="1"/>
  </r>
  <r>
    <n v="1015"/>
    <x v="2"/>
    <x v="1"/>
    <x v="2"/>
    <x v="2"/>
    <x v="2"/>
    <x v="1"/>
    <n v="261.56"/>
    <n v="371.4"/>
    <x v="0"/>
    <n v="0.2"/>
    <x v="1"/>
    <x v="1"/>
    <s v="South-David"/>
    <x v="2"/>
    <x v="1"/>
    <x v="2"/>
    <x v="2"/>
    <x v="2"/>
  </r>
  <r>
    <n v="1072"/>
    <x v="3"/>
    <x v="0"/>
    <x v="2"/>
    <x v="3"/>
    <x v="3"/>
    <x v="2"/>
    <n v="4330.03"/>
    <n v="4467.75"/>
    <x v="1"/>
    <n v="0.02"/>
    <x v="2"/>
    <x v="1"/>
    <s v="South-Bob"/>
    <x v="3"/>
    <x v="1"/>
    <x v="3"/>
    <x v="3"/>
    <x v="3"/>
  </r>
  <r>
    <n v="1061"/>
    <x v="4"/>
    <x v="2"/>
    <x v="3"/>
    <x v="4"/>
    <x v="4"/>
    <x v="3"/>
    <n v="637.37"/>
    <n v="692.71"/>
    <x v="1"/>
    <n v="0.08"/>
    <x v="2"/>
    <x v="0"/>
    <s v="East-Charlie"/>
    <x v="4"/>
    <x v="0"/>
    <x v="4"/>
    <x v="4"/>
    <x v="4"/>
  </r>
  <r>
    <n v="1021"/>
    <x v="5"/>
    <x v="2"/>
    <x v="1"/>
    <x v="5"/>
    <x v="5"/>
    <x v="1"/>
    <n v="900.79"/>
    <n v="1106.51"/>
    <x v="1"/>
    <n v="0.21"/>
    <x v="0"/>
    <x v="0"/>
    <s v="West-Charlie"/>
    <x v="0"/>
    <x v="2"/>
    <x v="5"/>
    <x v="5"/>
    <x v="5"/>
  </r>
  <r>
    <n v="1083"/>
    <x v="6"/>
    <x v="0"/>
    <x v="1"/>
    <x v="6"/>
    <x v="6"/>
    <x v="0"/>
    <n v="2408.81"/>
    <n v="2624.09"/>
    <x v="0"/>
    <n v="0.14000000000000001"/>
    <x v="0"/>
    <x v="0"/>
    <s v="West-Bob"/>
    <x v="1"/>
    <x v="3"/>
    <x v="6"/>
    <x v="6"/>
    <x v="6"/>
  </r>
  <r>
    <n v="1087"/>
    <x v="7"/>
    <x v="3"/>
    <x v="2"/>
    <x v="7"/>
    <x v="7"/>
    <x v="0"/>
    <n v="3702.51"/>
    <n v="3964.65"/>
    <x v="1"/>
    <n v="0.12"/>
    <x v="1"/>
    <x v="0"/>
    <s v="South-Eve"/>
    <x v="5"/>
    <x v="0"/>
    <x v="7"/>
    <x v="7"/>
    <x v="7"/>
  </r>
  <r>
    <n v="1075"/>
    <x v="8"/>
    <x v="1"/>
    <x v="2"/>
    <x v="8"/>
    <x v="2"/>
    <x v="0"/>
    <n v="738.06"/>
    <n v="1095.44999999999"/>
    <x v="1"/>
    <n v="0.05"/>
    <x v="1"/>
    <x v="0"/>
    <s v="South-David"/>
    <x v="6"/>
    <x v="1"/>
    <x v="8"/>
    <x v="8"/>
    <x v="8"/>
  </r>
  <r>
    <n v="1075"/>
    <x v="9"/>
    <x v="2"/>
    <x v="1"/>
    <x v="9"/>
    <x v="0"/>
    <x v="2"/>
    <n v="2228.35"/>
    <n v="2682.34"/>
    <x v="1"/>
    <n v="0.13"/>
    <x v="1"/>
    <x v="0"/>
    <s v="West-Charlie"/>
    <x v="7"/>
    <x v="4"/>
    <x v="9"/>
    <x v="9"/>
    <x v="9"/>
  </r>
  <r>
    <n v="1088"/>
    <x v="10"/>
    <x v="3"/>
    <x v="0"/>
    <x v="10"/>
    <x v="4"/>
    <x v="0"/>
    <n v="2440.11"/>
    <n v="2517.6"/>
    <x v="1"/>
    <n v="0.23"/>
    <x v="1"/>
    <x v="1"/>
    <s v="North-Eve"/>
    <x v="8"/>
    <x v="1"/>
    <x v="10"/>
    <x v="10"/>
    <x v="10"/>
  </r>
  <r>
    <n v="1100"/>
    <x v="11"/>
    <x v="0"/>
    <x v="1"/>
    <x v="11"/>
    <x v="8"/>
    <x v="1"/>
    <n v="1100.81"/>
    <n v="1137.44"/>
    <x v="0"/>
    <n v="0.08"/>
    <x v="1"/>
    <x v="0"/>
    <s v="West-Bob"/>
    <x v="3"/>
    <x v="4"/>
    <x v="11"/>
    <x v="11"/>
    <x v="11"/>
  </r>
  <r>
    <n v="1024"/>
    <x v="12"/>
    <x v="3"/>
    <x v="1"/>
    <x v="12"/>
    <x v="9"/>
    <x v="1"/>
    <n v="622.01"/>
    <n v="641.09"/>
    <x v="0"/>
    <n v="0"/>
    <x v="1"/>
    <x v="1"/>
    <s v="West-Eve"/>
    <x v="8"/>
    <x v="2"/>
    <x v="12"/>
    <x v="12"/>
    <x v="12"/>
  </r>
  <r>
    <n v="1003"/>
    <x v="13"/>
    <x v="4"/>
    <x v="2"/>
    <x v="13"/>
    <x v="2"/>
    <x v="0"/>
    <n v="4190.28"/>
    <n v="4270.6499999999996"/>
    <x v="1"/>
    <n v="0.2"/>
    <x v="0"/>
    <x v="0"/>
    <s v="South-Alice"/>
    <x v="9"/>
    <x v="5"/>
    <x v="13"/>
    <x v="13"/>
    <x v="13"/>
  </r>
  <r>
    <n v="1022"/>
    <x v="14"/>
    <x v="2"/>
    <x v="2"/>
    <x v="14"/>
    <x v="9"/>
    <x v="1"/>
    <n v="2537.1999999999998"/>
    <n v="2869.6"/>
    <x v="1"/>
    <n v="0.28999999999999998"/>
    <x v="1"/>
    <x v="1"/>
    <s v="South-Charlie"/>
    <x v="3"/>
    <x v="1"/>
    <x v="14"/>
    <x v="14"/>
    <x v="14"/>
  </r>
  <r>
    <n v="1053"/>
    <x v="15"/>
    <x v="0"/>
    <x v="0"/>
    <x v="15"/>
    <x v="10"/>
    <x v="0"/>
    <n v="121.19"/>
    <n v="487.65"/>
    <x v="1"/>
    <n v="0.18"/>
    <x v="0"/>
    <x v="1"/>
    <s v="North-Bob"/>
    <x v="7"/>
    <x v="4"/>
    <x v="15"/>
    <x v="15"/>
    <x v="15"/>
  </r>
  <r>
    <n v="1002"/>
    <x v="16"/>
    <x v="1"/>
    <x v="0"/>
    <x v="16"/>
    <x v="1"/>
    <x v="0"/>
    <n v="4024.76"/>
    <n v="4420.1499999999996"/>
    <x v="0"/>
    <n v="0.04"/>
    <x v="0"/>
    <x v="0"/>
    <s v="North-David"/>
    <x v="10"/>
    <x v="3"/>
    <x v="16"/>
    <x v="16"/>
    <x v="16"/>
  </r>
  <r>
    <n v="1088"/>
    <x v="17"/>
    <x v="0"/>
    <x v="3"/>
    <x v="17"/>
    <x v="11"/>
    <x v="3"/>
    <n v="4904.93"/>
    <n v="5034.3500000000004"/>
    <x v="1"/>
    <n v="0.1"/>
    <x v="2"/>
    <x v="1"/>
    <s v="East-Bob"/>
    <x v="7"/>
    <x v="6"/>
    <x v="17"/>
    <x v="17"/>
    <x v="17"/>
  </r>
  <r>
    <n v="1030"/>
    <x v="18"/>
    <x v="1"/>
    <x v="1"/>
    <x v="18"/>
    <x v="12"/>
    <x v="2"/>
    <n v="3049.33"/>
    <n v="3209.22"/>
    <x v="0"/>
    <n v="0.26"/>
    <x v="0"/>
    <x v="0"/>
    <s v="West-David"/>
    <x v="11"/>
    <x v="4"/>
    <x v="18"/>
    <x v="18"/>
    <x v="18"/>
  </r>
  <r>
    <n v="1038"/>
    <x v="19"/>
    <x v="0"/>
    <x v="2"/>
    <x v="19"/>
    <x v="13"/>
    <x v="2"/>
    <n v="2543.36"/>
    <n v="2790.1"/>
    <x v="0"/>
    <n v="7.0000000000000007E-2"/>
    <x v="0"/>
    <x v="0"/>
    <s v="South-Bob"/>
    <x v="4"/>
    <x v="2"/>
    <x v="19"/>
    <x v="19"/>
    <x v="19"/>
  </r>
  <r>
    <n v="1002"/>
    <x v="20"/>
    <x v="3"/>
    <x v="0"/>
    <x v="20"/>
    <x v="14"/>
    <x v="3"/>
    <n v="4398.16"/>
    <n v="4439.12"/>
    <x v="1"/>
    <n v="0.18"/>
    <x v="1"/>
    <x v="0"/>
    <s v="North-Eve"/>
    <x v="1"/>
    <x v="2"/>
    <x v="20"/>
    <x v="20"/>
    <x v="20"/>
  </r>
  <r>
    <n v="1064"/>
    <x v="21"/>
    <x v="3"/>
    <x v="3"/>
    <x v="21"/>
    <x v="15"/>
    <x v="3"/>
    <n v="4764.96"/>
    <n v="5074.42"/>
    <x v="1"/>
    <n v="0.12"/>
    <x v="0"/>
    <x v="0"/>
    <s v="East-Eve"/>
    <x v="5"/>
    <x v="6"/>
    <x v="21"/>
    <x v="21"/>
    <x v="21"/>
  </r>
  <r>
    <n v="1060"/>
    <x v="22"/>
    <x v="3"/>
    <x v="3"/>
    <x v="22"/>
    <x v="16"/>
    <x v="2"/>
    <n v="3784.96"/>
    <n v="4276.99"/>
    <x v="1"/>
    <n v="0.06"/>
    <x v="1"/>
    <x v="1"/>
    <s v="East-Eve"/>
    <x v="9"/>
    <x v="2"/>
    <x v="22"/>
    <x v="22"/>
    <x v="22"/>
  </r>
  <r>
    <n v="1021"/>
    <x v="23"/>
    <x v="4"/>
    <x v="2"/>
    <x v="23"/>
    <x v="17"/>
    <x v="0"/>
    <n v="2254.9899999999998"/>
    <n v="2441.79"/>
    <x v="0"/>
    <n v="0.24"/>
    <x v="1"/>
    <x v="0"/>
    <s v="South-Alice"/>
    <x v="8"/>
    <x v="4"/>
    <x v="23"/>
    <x v="23"/>
    <x v="23"/>
  </r>
  <r>
    <n v="1033"/>
    <x v="24"/>
    <x v="1"/>
    <x v="2"/>
    <x v="24"/>
    <x v="18"/>
    <x v="0"/>
    <n v="2981.5"/>
    <n v="3360.4"/>
    <x v="0"/>
    <n v="0.22"/>
    <x v="1"/>
    <x v="1"/>
    <s v="South-David"/>
    <x v="8"/>
    <x v="3"/>
    <x v="24"/>
    <x v="24"/>
    <x v="24"/>
  </r>
  <r>
    <n v="1076"/>
    <x v="22"/>
    <x v="3"/>
    <x v="3"/>
    <x v="25"/>
    <x v="2"/>
    <x v="2"/>
    <n v="3519.63"/>
    <n v="3774.65"/>
    <x v="1"/>
    <n v="0.2"/>
    <x v="2"/>
    <x v="1"/>
    <s v="East-Eve"/>
    <x v="9"/>
    <x v="2"/>
    <x v="25"/>
    <x v="25"/>
    <x v="25"/>
  </r>
  <r>
    <n v="1058"/>
    <x v="25"/>
    <x v="4"/>
    <x v="0"/>
    <x v="26"/>
    <x v="19"/>
    <x v="0"/>
    <n v="1011.65"/>
    <n v="1084.28"/>
    <x v="0"/>
    <n v="7.0000000000000007E-2"/>
    <x v="1"/>
    <x v="1"/>
    <s v="North-Alice"/>
    <x v="1"/>
    <x v="6"/>
    <x v="26"/>
    <x v="26"/>
    <x v="26"/>
  </r>
  <r>
    <n v="1022"/>
    <x v="26"/>
    <x v="1"/>
    <x v="3"/>
    <x v="27"/>
    <x v="14"/>
    <x v="3"/>
    <n v="2263.65"/>
    <n v="2558.9499999999998"/>
    <x v="1"/>
    <n v="0.03"/>
    <x v="0"/>
    <x v="0"/>
    <s v="East-David"/>
    <x v="6"/>
    <x v="1"/>
    <x v="27"/>
    <x v="27"/>
    <x v="27"/>
  </r>
  <r>
    <n v="1089"/>
    <x v="27"/>
    <x v="0"/>
    <x v="1"/>
    <x v="28"/>
    <x v="20"/>
    <x v="0"/>
    <n v="4157.62"/>
    <n v="4314.5599999999904"/>
    <x v="1"/>
    <n v="0.17"/>
    <x v="1"/>
    <x v="1"/>
    <s v="West-Bob"/>
    <x v="8"/>
    <x v="3"/>
    <x v="28"/>
    <x v="28"/>
    <x v="28"/>
  </r>
  <r>
    <n v="1049"/>
    <x v="28"/>
    <x v="4"/>
    <x v="1"/>
    <x v="29"/>
    <x v="21"/>
    <x v="0"/>
    <n v="3290.89"/>
    <n v="3317.75"/>
    <x v="0"/>
    <n v="0.17"/>
    <x v="1"/>
    <x v="0"/>
    <s v="West-Alice"/>
    <x v="10"/>
    <x v="6"/>
    <x v="29"/>
    <x v="29"/>
    <x v="29"/>
  </r>
  <r>
    <n v="1091"/>
    <x v="29"/>
    <x v="2"/>
    <x v="2"/>
    <x v="30"/>
    <x v="16"/>
    <x v="1"/>
    <n v="2085.46"/>
    <n v="2406.58"/>
    <x v="0"/>
    <n v="0.06"/>
    <x v="1"/>
    <x v="1"/>
    <s v="South-Charlie"/>
    <x v="2"/>
    <x v="4"/>
    <x v="30"/>
    <x v="30"/>
    <x v="30"/>
  </r>
  <r>
    <n v="1059"/>
    <x v="30"/>
    <x v="4"/>
    <x v="0"/>
    <x v="31"/>
    <x v="22"/>
    <x v="1"/>
    <n v="3333.64"/>
    <n v="3764.52"/>
    <x v="0"/>
    <n v="0.02"/>
    <x v="2"/>
    <x v="0"/>
    <s v="North-Alice"/>
    <x v="3"/>
    <x v="1"/>
    <x v="31"/>
    <x v="31"/>
    <x v="31"/>
  </r>
  <r>
    <n v="1042"/>
    <x v="31"/>
    <x v="4"/>
    <x v="0"/>
    <x v="32"/>
    <x v="23"/>
    <x v="1"/>
    <n v="635.20000000000005"/>
    <n v="814.14"/>
    <x v="0"/>
    <n v="0.02"/>
    <x v="0"/>
    <x v="0"/>
    <s v="North-Alice"/>
    <x v="5"/>
    <x v="3"/>
    <x v="32"/>
    <x v="32"/>
    <x v="32"/>
  </r>
  <r>
    <n v="1092"/>
    <x v="32"/>
    <x v="1"/>
    <x v="1"/>
    <x v="33"/>
    <x v="24"/>
    <x v="0"/>
    <n v="2037.41"/>
    <n v="2238.65"/>
    <x v="1"/>
    <n v="0.3"/>
    <x v="2"/>
    <x v="0"/>
    <s v="West-David"/>
    <x v="0"/>
    <x v="1"/>
    <x v="33"/>
    <x v="33"/>
    <x v="33"/>
  </r>
  <r>
    <n v="1060"/>
    <x v="14"/>
    <x v="0"/>
    <x v="3"/>
    <x v="34"/>
    <x v="25"/>
    <x v="2"/>
    <n v="3975.99"/>
    <n v="4422.59"/>
    <x v="1"/>
    <n v="0.24"/>
    <x v="0"/>
    <x v="0"/>
    <s v="East-Bob"/>
    <x v="3"/>
    <x v="1"/>
    <x v="34"/>
    <x v="34"/>
    <x v="34"/>
  </r>
  <r>
    <n v="1080"/>
    <x v="33"/>
    <x v="2"/>
    <x v="2"/>
    <x v="35"/>
    <x v="14"/>
    <x v="3"/>
    <n v="1141.52"/>
    <n v="1550.19"/>
    <x v="1"/>
    <n v="0.28000000000000003"/>
    <x v="2"/>
    <x v="1"/>
    <s v="South-Charlie"/>
    <x v="0"/>
    <x v="5"/>
    <x v="35"/>
    <x v="35"/>
    <x v="35"/>
  </r>
  <r>
    <n v="1015"/>
    <x v="34"/>
    <x v="3"/>
    <x v="3"/>
    <x v="36"/>
    <x v="5"/>
    <x v="0"/>
    <n v="970.51"/>
    <n v="1330.84"/>
    <x v="0"/>
    <n v="0.06"/>
    <x v="0"/>
    <x v="1"/>
    <s v="East-Eve"/>
    <x v="3"/>
    <x v="0"/>
    <x v="36"/>
    <x v="36"/>
    <x v="36"/>
  </r>
  <r>
    <n v="1062"/>
    <x v="7"/>
    <x v="3"/>
    <x v="3"/>
    <x v="37"/>
    <x v="13"/>
    <x v="2"/>
    <n v="4756.55"/>
    <n v="4888.46"/>
    <x v="1"/>
    <n v="0.28999999999999998"/>
    <x v="2"/>
    <x v="0"/>
    <s v="East-Eve"/>
    <x v="5"/>
    <x v="0"/>
    <x v="37"/>
    <x v="37"/>
    <x v="37"/>
  </r>
  <r>
    <n v="1062"/>
    <x v="35"/>
    <x v="4"/>
    <x v="3"/>
    <x v="38"/>
    <x v="26"/>
    <x v="0"/>
    <n v="1088.99"/>
    <n v="1545"/>
    <x v="0"/>
    <n v="0.04"/>
    <x v="1"/>
    <x v="1"/>
    <s v="East-Alice"/>
    <x v="8"/>
    <x v="2"/>
    <x v="38"/>
    <x v="38"/>
    <x v="38"/>
  </r>
  <r>
    <n v="1047"/>
    <x v="36"/>
    <x v="1"/>
    <x v="0"/>
    <x v="39"/>
    <x v="19"/>
    <x v="3"/>
    <n v="1341.55"/>
    <n v="1427.21"/>
    <x v="0"/>
    <n v="0.15"/>
    <x v="2"/>
    <x v="0"/>
    <s v="North-David"/>
    <x v="3"/>
    <x v="3"/>
    <x v="39"/>
    <x v="39"/>
    <x v="39"/>
  </r>
  <r>
    <n v="1062"/>
    <x v="37"/>
    <x v="1"/>
    <x v="1"/>
    <x v="40"/>
    <x v="27"/>
    <x v="0"/>
    <n v="4849.6000000000004"/>
    <n v="5166.72"/>
    <x v="0"/>
    <n v="0.25"/>
    <x v="2"/>
    <x v="0"/>
    <s v="West-David"/>
    <x v="4"/>
    <x v="1"/>
    <x v="40"/>
    <x v="40"/>
    <x v="40"/>
  </r>
  <r>
    <n v="1051"/>
    <x v="21"/>
    <x v="3"/>
    <x v="0"/>
    <x v="41"/>
    <x v="28"/>
    <x v="3"/>
    <n v="3686.81"/>
    <n v="3710.92"/>
    <x v="1"/>
    <n v="0.1"/>
    <x v="1"/>
    <x v="1"/>
    <s v="North-Eve"/>
    <x v="5"/>
    <x v="6"/>
    <x v="41"/>
    <x v="41"/>
    <x v="41"/>
  </r>
  <r>
    <n v="1055"/>
    <x v="38"/>
    <x v="2"/>
    <x v="1"/>
    <x v="42"/>
    <x v="29"/>
    <x v="0"/>
    <n v="3513"/>
    <n v="3838.42"/>
    <x v="0"/>
    <n v="0.13"/>
    <x v="1"/>
    <x v="0"/>
    <s v="West-Charlie"/>
    <x v="9"/>
    <x v="0"/>
    <x v="42"/>
    <x v="42"/>
    <x v="42"/>
  </r>
  <r>
    <n v="1064"/>
    <x v="39"/>
    <x v="0"/>
    <x v="2"/>
    <x v="43"/>
    <x v="29"/>
    <x v="3"/>
    <n v="4271.99"/>
    <n v="4417.79"/>
    <x v="0"/>
    <n v="0.04"/>
    <x v="0"/>
    <x v="0"/>
    <s v="South-Bob"/>
    <x v="10"/>
    <x v="5"/>
    <x v="43"/>
    <x v="43"/>
    <x v="43"/>
  </r>
  <r>
    <n v="1003"/>
    <x v="40"/>
    <x v="2"/>
    <x v="2"/>
    <x v="44"/>
    <x v="30"/>
    <x v="0"/>
    <n v="623.32000000000005"/>
    <n v="853.66"/>
    <x v="0"/>
    <n v="0.04"/>
    <x v="0"/>
    <x v="0"/>
    <s v="South-Charlie"/>
    <x v="1"/>
    <x v="0"/>
    <x v="44"/>
    <x v="44"/>
    <x v="44"/>
  </r>
  <r>
    <n v="1051"/>
    <x v="41"/>
    <x v="0"/>
    <x v="3"/>
    <x v="45"/>
    <x v="26"/>
    <x v="3"/>
    <n v="3544.48"/>
    <n v="3723.66"/>
    <x v="0"/>
    <n v="0.19"/>
    <x v="0"/>
    <x v="0"/>
    <s v="East-Bob"/>
    <x v="1"/>
    <x v="3"/>
    <x v="45"/>
    <x v="45"/>
    <x v="45"/>
  </r>
  <r>
    <n v="1007"/>
    <x v="42"/>
    <x v="3"/>
    <x v="1"/>
    <x v="46"/>
    <x v="21"/>
    <x v="1"/>
    <n v="2543.2600000000002"/>
    <n v="2637.91"/>
    <x v="0"/>
    <n v="0.2"/>
    <x v="2"/>
    <x v="0"/>
    <s v="West-Eve"/>
    <x v="4"/>
    <x v="0"/>
    <x v="46"/>
    <x v="46"/>
    <x v="46"/>
  </r>
  <r>
    <n v="1021"/>
    <x v="43"/>
    <x v="0"/>
    <x v="1"/>
    <x v="47"/>
    <x v="8"/>
    <x v="0"/>
    <n v="4154.3"/>
    <n v="4469.07"/>
    <x v="0"/>
    <n v="0.23"/>
    <x v="0"/>
    <x v="1"/>
    <s v="West-Bob"/>
    <x v="11"/>
    <x v="1"/>
    <x v="47"/>
    <x v="47"/>
    <x v="47"/>
  </r>
  <r>
    <n v="1073"/>
    <x v="38"/>
    <x v="1"/>
    <x v="1"/>
    <x v="48"/>
    <x v="11"/>
    <x v="0"/>
    <n v="2565.3000000000002"/>
    <n v="3007.47"/>
    <x v="0"/>
    <n v="0.17"/>
    <x v="2"/>
    <x v="1"/>
    <s v="West-David"/>
    <x v="9"/>
    <x v="0"/>
    <x v="48"/>
    <x v="48"/>
    <x v="48"/>
  </r>
  <r>
    <n v="1039"/>
    <x v="44"/>
    <x v="4"/>
    <x v="3"/>
    <x v="49"/>
    <x v="31"/>
    <x v="2"/>
    <n v="3120.19"/>
    <n v="3600.14"/>
    <x v="0"/>
    <n v="0.19"/>
    <x v="2"/>
    <x v="1"/>
    <s v="East-Alice"/>
    <x v="11"/>
    <x v="2"/>
    <x v="49"/>
    <x v="49"/>
    <x v="49"/>
  </r>
  <r>
    <n v="1018"/>
    <x v="45"/>
    <x v="4"/>
    <x v="3"/>
    <x v="50"/>
    <x v="23"/>
    <x v="2"/>
    <n v="2414.8200000000002"/>
    <n v="2519.0700000000002"/>
    <x v="0"/>
    <n v="0"/>
    <x v="0"/>
    <x v="0"/>
    <s v="East-Alice"/>
    <x v="5"/>
    <x v="1"/>
    <x v="50"/>
    <x v="50"/>
    <x v="50"/>
  </r>
  <r>
    <n v="1004"/>
    <x v="46"/>
    <x v="3"/>
    <x v="2"/>
    <x v="51"/>
    <x v="3"/>
    <x v="3"/>
    <n v="2416.89"/>
    <n v="2778.3999999999901"/>
    <x v="0"/>
    <n v="0.05"/>
    <x v="0"/>
    <x v="0"/>
    <s v="South-Eve"/>
    <x v="6"/>
    <x v="1"/>
    <x v="51"/>
    <x v="51"/>
    <x v="51"/>
  </r>
  <r>
    <n v="1089"/>
    <x v="47"/>
    <x v="1"/>
    <x v="0"/>
    <x v="52"/>
    <x v="8"/>
    <x v="0"/>
    <n v="3851.45"/>
    <n v="4186.9799999999996"/>
    <x v="0"/>
    <n v="0.3"/>
    <x v="2"/>
    <x v="0"/>
    <s v="North-David"/>
    <x v="7"/>
    <x v="0"/>
    <x v="52"/>
    <x v="52"/>
    <x v="52"/>
  </r>
  <r>
    <n v="1060"/>
    <x v="48"/>
    <x v="2"/>
    <x v="1"/>
    <x v="53"/>
    <x v="17"/>
    <x v="3"/>
    <n v="3161.4"/>
    <n v="3339.66"/>
    <x v="0"/>
    <n v="0.02"/>
    <x v="1"/>
    <x v="0"/>
    <s v="West-Charlie"/>
    <x v="10"/>
    <x v="2"/>
    <x v="53"/>
    <x v="53"/>
    <x v="53"/>
  </r>
  <r>
    <n v="1014"/>
    <x v="49"/>
    <x v="1"/>
    <x v="1"/>
    <x v="54"/>
    <x v="1"/>
    <x v="1"/>
    <n v="3184.65"/>
    <n v="3204.01"/>
    <x v="1"/>
    <n v="0.2"/>
    <x v="1"/>
    <x v="0"/>
    <s v="West-David"/>
    <x v="8"/>
    <x v="6"/>
    <x v="54"/>
    <x v="54"/>
    <x v="54"/>
  </r>
  <r>
    <n v="1009"/>
    <x v="40"/>
    <x v="4"/>
    <x v="0"/>
    <x v="55"/>
    <x v="19"/>
    <x v="2"/>
    <n v="2278.9"/>
    <n v="2626.9"/>
    <x v="1"/>
    <n v="0.05"/>
    <x v="2"/>
    <x v="0"/>
    <s v="North-Alice"/>
    <x v="1"/>
    <x v="0"/>
    <x v="55"/>
    <x v="55"/>
    <x v="55"/>
  </r>
  <r>
    <n v="1090"/>
    <x v="50"/>
    <x v="4"/>
    <x v="1"/>
    <x v="56"/>
    <x v="5"/>
    <x v="3"/>
    <n v="2678.99"/>
    <n v="3152.2799999999902"/>
    <x v="0"/>
    <n v="0.22"/>
    <x v="0"/>
    <x v="1"/>
    <s v="West-Alice"/>
    <x v="8"/>
    <x v="4"/>
    <x v="56"/>
    <x v="56"/>
    <x v="56"/>
  </r>
  <r>
    <n v="1053"/>
    <x v="51"/>
    <x v="1"/>
    <x v="3"/>
    <x v="57"/>
    <x v="6"/>
    <x v="3"/>
    <n v="3741.3"/>
    <n v="4061.04"/>
    <x v="0"/>
    <n v="0.21"/>
    <x v="2"/>
    <x v="0"/>
    <s v="East-David"/>
    <x v="7"/>
    <x v="4"/>
    <x v="57"/>
    <x v="57"/>
    <x v="57"/>
  </r>
  <r>
    <n v="1002"/>
    <x v="52"/>
    <x v="1"/>
    <x v="3"/>
    <x v="58"/>
    <x v="9"/>
    <x v="2"/>
    <n v="4138.41"/>
    <n v="4361.7"/>
    <x v="0"/>
    <n v="7.0000000000000007E-2"/>
    <x v="2"/>
    <x v="1"/>
    <s v="East-David"/>
    <x v="11"/>
    <x v="4"/>
    <x v="58"/>
    <x v="58"/>
    <x v="58"/>
  </r>
  <r>
    <n v="1084"/>
    <x v="53"/>
    <x v="4"/>
    <x v="1"/>
    <x v="59"/>
    <x v="9"/>
    <x v="0"/>
    <n v="3497.98"/>
    <n v="3765.31"/>
    <x v="1"/>
    <n v="0.08"/>
    <x v="0"/>
    <x v="0"/>
    <s v="West-Alice"/>
    <x v="3"/>
    <x v="5"/>
    <x v="59"/>
    <x v="59"/>
    <x v="59"/>
  </r>
  <r>
    <n v="1092"/>
    <x v="54"/>
    <x v="2"/>
    <x v="3"/>
    <x v="60"/>
    <x v="11"/>
    <x v="3"/>
    <n v="4624.16"/>
    <n v="4731.9799999999996"/>
    <x v="1"/>
    <n v="0.2"/>
    <x v="1"/>
    <x v="1"/>
    <s v="East-Charlie"/>
    <x v="5"/>
    <x v="0"/>
    <x v="60"/>
    <x v="60"/>
    <x v="60"/>
  </r>
  <r>
    <n v="1060"/>
    <x v="55"/>
    <x v="3"/>
    <x v="3"/>
    <x v="61"/>
    <x v="18"/>
    <x v="2"/>
    <n v="4110.6000000000004"/>
    <n v="4488.37"/>
    <x v="1"/>
    <n v="0.12"/>
    <x v="2"/>
    <x v="0"/>
    <s v="East-Eve"/>
    <x v="1"/>
    <x v="5"/>
    <x v="61"/>
    <x v="61"/>
    <x v="61"/>
  </r>
  <r>
    <n v="1071"/>
    <x v="56"/>
    <x v="3"/>
    <x v="1"/>
    <x v="62"/>
    <x v="32"/>
    <x v="0"/>
    <n v="2831.23"/>
    <n v="3206.98"/>
    <x v="0"/>
    <n v="0.06"/>
    <x v="1"/>
    <x v="1"/>
    <s v="West-Eve"/>
    <x v="10"/>
    <x v="2"/>
    <x v="62"/>
    <x v="62"/>
    <x v="62"/>
  </r>
  <r>
    <n v="1044"/>
    <x v="57"/>
    <x v="1"/>
    <x v="2"/>
    <x v="63"/>
    <x v="33"/>
    <x v="1"/>
    <n v="3373.46"/>
    <n v="3454.76"/>
    <x v="0"/>
    <n v="0.22"/>
    <x v="1"/>
    <x v="1"/>
    <s v="South-David"/>
    <x v="0"/>
    <x v="1"/>
    <x v="63"/>
    <x v="63"/>
    <x v="63"/>
  </r>
  <r>
    <n v="1008"/>
    <x v="58"/>
    <x v="3"/>
    <x v="0"/>
    <x v="64"/>
    <x v="34"/>
    <x v="2"/>
    <n v="4635.2299999999996"/>
    <n v="5075.4399999999996"/>
    <x v="0"/>
    <n v="0.05"/>
    <x v="0"/>
    <x v="0"/>
    <s v="North-Eve"/>
    <x v="5"/>
    <x v="5"/>
    <x v="64"/>
    <x v="64"/>
    <x v="64"/>
  </r>
  <r>
    <n v="1047"/>
    <x v="59"/>
    <x v="4"/>
    <x v="3"/>
    <x v="65"/>
    <x v="35"/>
    <x v="3"/>
    <n v="3114.88"/>
    <n v="3256.78"/>
    <x v="0"/>
    <n v="0.26"/>
    <x v="2"/>
    <x v="0"/>
    <s v="East-Alice"/>
    <x v="4"/>
    <x v="0"/>
    <x v="65"/>
    <x v="65"/>
    <x v="65"/>
  </r>
  <r>
    <n v="1035"/>
    <x v="60"/>
    <x v="4"/>
    <x v="2"/>
    <x v="66"/>
    <x v="27"/>
    <x v="1"/>
    <n v="4132.79"/>
    <n v="4624.1000000000004"/>
    <x v="1"/>
    <n v="0.15"/>
    <x v="2"/>
    <x v="1"/>
    <s v="South-Alice"/>
    <x v="10"/>
    <x v="4"/>
    <x v="66"/>
    <x v="66"/>
    <x v="66"/>
  </r>
  <r>
    <n v="1078"/>
    <x v="10"/>
    <x v="1"/>
    <x v="3"/>
    <x v="67"/>
    <x v="29"/>
    <x v="0"/>
    <n v="3459.61"/>
    <n v="3657.23"/>
    <x v="0"/>
    <n v="0.03"/>
    <x v="1"/>
    <x v="0"/>
    <s v="East-David"/>
    <x v="8"/>
    <x v="1"/>
    <x v="67"/>
    <x v="67"/>
    <x v="67"/>
  </r>
  <r>
    <n v="1081"/>
    <x v="61"/>
    <x v="1"/>
    <x v="3"/>
    <x v="68"/>
    <x v="36"/>
    <x v="0"/>
    <n v="2782.08"/>
    <n v="2879.24"/>
    <x v="1"/>
    <n v="0.21"/>
    <x v="1"/>
    <x v="0"/>
    <s v="East-David"/>
    <x v="0"/>
    <x v="3"/>
    <x v="68"/>
    <x v="68"/>
    <x v="68"/>
  </r>
  <r>
    <n v="1036"/>
    <x v="62"/>
    <x v="1"/>
    <x v="0"/>
    <x v="69"/>
    <x v="37"/>
    <x v="2"/>
    <n v="1247.0999999999999"/>
    <n v="1429.4399999999901"/>
    <x v="1"/>
    <n v="0.16"/>
    <x v="0"/>
    <x v="0"/>
    <s v="North-David"/>
    <x v="7"/>
    <x v="0"/>
    <x v="69"/>
    <x v="69"/>
    <x v="69"/>
  </r>
  <r>
    <n v="1050"/>
    <x v="63"/>
    <x v="2"/>
    <x v="3"/>
    <x v="70"/>
    <x v="22"/>
    <x v="2"/>
    <n v="2158.69"/>
    <n v="2384.38"/>
    <x v="0"/>
    <n v="0.09"/>
    <x v="1"/>
    <x v="1"/>
    <s v="East-Charlie"/>
    <x v="10"/>
    <x v="0"/>
    <x v="70"/>
    <x v="70"/>
    <x v="70"/>
  </r>
  <r>
    <n v="1004"/>
    <x v="64"/>
    <x v="3"/>
    <x v="0"/>
    <x v="71"/>
    <x v="23"/>
    <x v="2"/>
    <n v="4840.33"/>
    <n v="4884.29"/>
    <x v="1"/>
    <n v="0.13"/>
    <x v="0"/>
    <x v="0"/>
    <s v="North-Eve"/>
    <x v="9"/>
    <x v="0"/>
    <x v="71"/>
    <x v="71"/>
    <x v="71"/>
  </r>
  <r>
    <n v="1002"/>
    <x v="65"/>
    <x v="1"/>
    <x v="0"/>
    <x v="72"/>
    <x v="38"/>
    <x v="0"/>
    <n v="3305.94"/>
    <n v="3599.27"/>
    <x v="1"/>
    <n v="0.09"/>
    <x v="2"/>
    <x v="1"/>
    <s v="North-David"/>
    <x v="8"/>
    <x v="6"/>
    <x v="72"/>
    <x v="72"/>
    <x v="72"/>
  </r>
  <r>
    <n v="1006"/>
    <x v="66"/>
    <x v="0"/>
    <x v="0"/>
    <x v="73"/>
    <x v="37"/>
    <x v="1"/>
    <n v="2843.76"/>
    <n v="3146.6"/>
    <x v="1"/>
    <n v="0.08"/>
    <x v="0"/>
    <x v="1"/>
    <s v="North-Bob"/>
    <x v="2"/>
    <x v="2"/>
    <x v="73"/>
    <x v="73"/>
    <x v="73"/>
  </r>
  <r>
    <n v="1054"/>
    <x v="67"/>
    <x v="0"/>
    <x v="2"/>
    <x v="74"/>
    <x v="9"/>
    <x v="0"/>
    <n v="4668.1400000000003"/>
    <n v="5040.22"/>
    <x v="1"/>
    <n v="0.05"/>
    <x v="1"/>
    <x v="0"/>
    <s v="South-Bob"/>
    <x v="6"/>
    <x v="2"/>
    <x v="74"/>
    <x v="74"/>
    <x v="74"/>
  </r>
  <r>
    <n v="1004"/>
    <x v="68"/>
    <x v="4"/>
    <x v="1"/>
    <x v="75"/>
    <x v="39"/>
    <x v="3"/>
    <n v="2953.23"/>
    <n v="2977.52"/>
    <x v="0"/>
    <n v="0.11"/>
    <x v="2"/>
    <x v="1"/>
    <s v="West-Alice"/>
    <x v="6"/>
    <x v="3"/>
    <x v="75"/>
    <x v="75"/>
    <x v="75"/>
  </r>
  <r>
    <n v="1054"/>
    <x v="69"/>
    <x v="3"/>
    <x v="2"/>
    <x v="76"/>
    <x v="11"/>
    <x v="0"/>
    <n v="2654.11"/>
    <n v="2929.32"/>
    <x v="0"/>
    <n v="0.08"/>
    <x v="0"/>
    <x v="0"/>
    <s v="South-Eve"/>
    <x v="5"/>
    <x v="3"/>
    <x v="76"/>
    <x v="76"/>
    <x v="76"/>
  </r>
  <r>
    <n v="1093"/>
    <x v="70"/>
    <x v="1"/>
    <x v="1"/>
    <x v="77"/>
    <x v="12"/>
    <x v="3"/>
    <n v="3808.59"/>
    <n v="3844.51"/>
    <x v="1"/>
    <n v="0.21"/>
    <x v="2"/>
    <x v="0"/>
    <s v="West-David"/>
    <x v="2"/>
    <x v="4"/>
    <x v="77"/>
    <x v="77"/>
    <x v="77"/>
  </r>
  <r>
    <n v="1063"/>
    <x v="71"/>
    <x v="0"/>
    <x v="1"/>
    <x v="78"/>
    <x v="3"/>
    <x v="1"/>
    <n v="3577.69"/>
    <n v="3931.25"/>
    <x v="0"/>
    <n v="0.21"/>
    <x v="0"/>
    <x v="1"/>
    <s v="West-Bob"/>
    <x v="10"/>
    <x v="1"/>
    <x v="78"/>
    <x v="78"/>
    <x v="78"/>
  </r>
  <r>
    <n v="1018"/>
    <x v="72"/>
    <x v="3"/>
    <x v="0"/>
    <x v="79"/>
    <x v="40"/>
    <x v="2"/>
    <n v="1006.14"/>
    <n v="1043.45"/>
    <x v="1"/>
    <n v="0.15"/>
    <x v="1"/>
    <x v="1"/>
    <s v="North-Eve"/>
    <x v="6"/>
    <x v="6"/>
    <x v="79"/>
    <x v="79"/>
    <x v="79"/>
  </r>
  <r>
    <n v="1090"/>
    <x v="73"/>
    <x v="4"/>
    <x v="3"/>
    <x v="80"/>
    <x v="1"/>
    <x v="2"/>
    <n v="2382.98"/>
    <n v="2839.73"/>
    <x v="0"/>
    <n v="0.23"/>
    <x v="1"/>
    <x v="1"/>
    <s v="East-Alice"/>
    <x v="5"/>
    <x v="0"/>
    <x v="80"/>
    <x v="80"/>
    <x v="80"/>
  </r>
  <r>
    <n v="1044"/>
    <x v="74"/>
    <x v="2"/>
    <x v="0"/>
    <x v="81"/>
    <x v="32"/>
    <x v="0"/>
    <n v="2388.9499999999998"/>
    <n v="2742.97"/>
    <x v="0"/>
    <n v="0.25"/>
    <x v="2"/>
    <x v="1"/>
    <s v="North-Charlie"/>
    <x v="6"/>
    <x v="2"/>
    <x v="81"/>
    <x v="81"/>
    <x v="81"/>
  </r>
  <r>
    <n v="1034"/>
    <x v="75"/>
    <x v="3"/>
    <x v="3"/>
    <x v="82"/>
    <x v="12"/>
    <x v="2"/>
    <n v="1922.21"/>
    <n v="2180.83"/>
    <x v="0"/>
    <n v="0.17"/>
    <x v="2"/>
    <x v="1"/>
    <s v="East-Eve"/>
    <x v="10"/>
    <x v="6"/>
    <x v="82"/>
    <x v="82"/>
    <x v="82"/>
  </r>
  <r>
    <n v="1074"/>
    <x v="76"/>
    <x v="3"/>
    <x v="1"/>
    <x v="83"/>
    <x v="34"/>
    <x v="1"/>
    <n v="2610.6"/>
    <n v="2836.94"/>
    <x v="0"/>
    <n v="0.19"/>
    <x v="2"/>
    <x v="0"/>
    <s v="West-Eve"/>
    <x v="4"/>
    <x v="2"/>
    <x v="83"/>
    <x v="83"/>
    <x v="83"/>
  </r>
  <r>
    <n v="1062"/>
    <x v="77"/>
    <x v="2"/>
    <x v="0"/>
    <x v="84"/>
    <x v="40"/>
    <x v="2"/>
    <n v="2094.88"/>
    <n v="2168.91"/>
    <x v="0"/>
    <n v="0.08"/>
    <x v="0"/>
    <x v="1"/>
    <s v="North-Charlie"/>
    <x v="8"/>
    <x v="0"/>
    <x v="84"/>
    <x v="84"/>
    <x v="84"/>
  </r>
  <r>
    <n v="1100"/>
    <x v="78"/>
    <x v="3"/>
    <x v="3"/>
    <x v="85"/>
    <x v="39"/>
    <x v="0"/>
    <n v="1036.76"/>
    <n v="1189.3499999999999"/>
    <x v="1"/>
    <n v="0.27"/>
    <x v="1"/>
    <x v="0"/>
    <s v="East-Eve"/>
    <x v="8"/>
    <x v="6"/>
    <x v="85"/>
    <x v="85"/>
    <x v="85"/>
  </r>
  <r>
    <n v="1014"/>
    <x v="6"/>
    <x v="4"/>
    <x v="2"/>
    <x v="86"/>
    <x v="34"/>
    <x v="1"/>
    <n v="2091.21"/>
    <n v="2527"/>
    <x v="0"/>
    <n v="0.01"/>
    <x v="2"/>
    <x v="0"/>
    <s v="South-Alice"/>
    <x v="1"/>
    <x v="3"/>
    <x v="86"/>
    <x v="86"/>
    <x v="86"/>
  </r>
  <r>
    <n v="1095"/>
    <x v="79"/>
    <x v="4"/>
    <x v="3"/>
    <x v="87"/>
    <x v="35"/>
    <x v="3"/>
    <n v="407.77"/>
    <n v="860.95"/>
    <x v="1"/>
    <n v="0.1"/>
    <x v="2"/>
    <x v="1"/>
    <s v="East-Alice"/>
    <x v="8"/>
    <x v="2"/>
    <x v="87"/>
    <x v="87"/>
    <x v="87"/>
  </r>
  <r>
    <n v="1048"/>
    <x v="80"/>
    <x v="2"/>
    <x v="0"/>
    <x v="88"/>
    <x v="41"/>
    <x v="0"/>
    <n v="2900.14"/>
    <n v="2910.5099999999902"/>
    <x v="1"/>
    <n v="0.22"/>
    <x v="2"/>
    <x v="1"/>
    <s v="North-Charlie"/>
    <x v="2"/>
    <x v="2"/>
    <x v="88"/>
    <x v="88"/>
    <x v="88"/>
  </r>
  <r>
    <n v="1015"/>
    <x v="81"/>
    <x v="1"/>
    <x v="2"/>
    <x v="89"/>
    <x v="33"/>
    <x v="3"/>
    <n v="4275.59"/>
    <n v="4576.72"/>
    <x v="0"/>
    <n v="0.02"/>
    <x v="0"/>
    <x v="1"/>
    <s v="South-David"/>
    <x v="2"/>
    <x v="0"/>
    <x v="89"/>
    <x v="89"/>
    <x v="89"/>
  </r>
  <r>
    <n v="1072"/>
    <x v="61"/>
    <x v="0"/>
    <x v="3"/>
    <x v="90"/>
    <x v="42"/>
    <x v="1"/>
    <n v="3640.17"/>
    <n v="4002.63"/>
    <x v="1"/>
    <n v="0.05"/>
    <x v="2"/>
    <x v="1"/>
    <s v="East-Bob"/>
    <x v="0"/>
    <x v="3"/>
    <x v="90"/>
    <x v="90"/>
    <x v="90"/>
  </r>
  <r>
    <n v="1078"/>
    <x v="41"/>
    <x v="1"/>
    <x v="3"/>
    <x v="91"/>
    <x v="37"/>
    <x v="0"/>
    <n v="1833.95"/>
    <n v="2147.14"/>
    <x v="0"/>
    <n v="0.18"/>
    <x v="2"/>
    <x v="1"/>
    <s v="East-David"/>
    <x v="1"/>
    <x v="3"/>
    <x v="91"/>
    <x v="91"/>
    <x v="91"/>
  </r>
  <r>
    <n v="1087"/>
    <x v="25"/>
    <x v="3"/>
    <x v="3"/>
    <x v="92"/>
    <x v="8"/>
    <x v="0"/>
    <n v="481"/>
    <n v="531.02"/>
    <x v="1"/>
    <n v="0.17"/>
    <x v="0"/>
    <x v="0"/>
    <s v="East-Eve"/>
    <x v="1"/>
    <x v="6"/>
    <x v="92"/>
    <x v="92"/>
    <x v="92"/>
  </r>
  <r>
    <n v="1062"/>
    <x v="82"/>
    <x v="0"/>
    <x v="3"/>
    <x v="93"/>
    <x v="43"/>
    <x v="1"/>
    <n v="1050.6400000000001"/>
    <n v="1167.33"/>
    <x v="1"/>
    <n v="0.22"/>
    <x v="0"/>
    <x v="0"/>
    <s v="East-Bob"/>
    <x v="8"/>
    <x v="6"/>
    <x v="93"/>
    <x v="93"/>
    <x v="93"/>
  </r>
  <r>
    <n v="1040"/>
    <x v="83"/>
    <x v="2"/>
    <x v="3"/>
    <x v="94"/>
    <x v="4"/>
    <x v="2"/>
    <n v="2750.18"/>
    <n v="2882.85"/>
    <x v="0"/>
    <n v="0.24"/>
    <x v="2"/>
    <x v="0"/>
    <s v="East-Charlie"/>
    <x v="4"/>
    <x v="0"/>
    <x v="94"/>
    <x v="94"/>
    <x v="94"/>
  </r>
  <r>
    <n v="1085"/>
    <x v="24"/>
    <x v="2"/>
    <x v="2"/>
    <x v="95"/>
    <x v="5"/>
    <x v="0"/>
    <n v="1074.93"/>
    <n v="1492.48"/>
    <x v="0"/>
    <n v="0.04"/>
    <x v="2"/>
    <x v="1"/>
    <s v="South-Charlie"/>
    <x v="8"/>
    <x v="3"/>
    <x v="95"/>
    <x v="95"/>
    <x v="95"/>
  </r>
  <r>
    <n v="1080"/>
    <x v="3"/>
    <x v="0"/>
    <x v="1"/>
    <x v="96"/>
    <x v="1"/>
    <x v="0"/>
    <n v="2742.67"/>
    <n v="2979.64"/>
    <x v="0"/>
    <n v="0.01"/>
    <x v="0"/>
    <x v="1"/>
    <s v="West-Bob"/>
    <x v="3"/>
    <x v="1"/>
    <x v="96"/>
    <x v="96"/>
    <x v="96"/>
  </r>
  <r>
    <n v="1082"/>
    <x v="84"/>
    <x v="4"/>
    <x v="2"/>
    <x v="97"/>
    <x v="36"/>
    <x v="3"/>
    <n v="1196.42"/>
    <n v="1444.97"/>
    <x v="0"/>
    <n v="0.21"/>
    <x v="1"/>
    <x v="0"/>
    <s v="South-Alice"/>
    <x v="8"/>
    <x v="1"/>
    <x v="97"/>
    <x v="97"/>
    <x v="97"/>
  </r>
  <r>
    <n v="1053"/>
    <x v="28"/>
    <x v="0"/>
    <x v="2"/>
    <x v="98"/>
    <x v="43"/>
    <x v="2"/>
    <n v="4252.17"/>
    <n v="4720.2700000000004"/>
    <x v="1"/>
    <n v="0.09"/>
    <x v="0"/>
    <x v="1"/>
    <s v="South-Bob"/>
    <x v="10"/>
    <x v="6"/>
    <x v="98"/>
    <x v="98"/>
    <x v="98"/>
  </r>
  <r>
    <n v="1024"/>
    <x v="85"/>
    <x v="3"/>
    <x v="2"/>
    <x v="99"/>
    <x v="7"/>
    <x v="3"/>
    <n v="2016.49"/>
    <n v="2338.66"/>
    <x v="0"/>
    <n v="0.19"/>
    <x v="1"/>
    <x v="1"/>
    <s v="South-Eve"/>
    <x v="4"/>
    <x v="0"/>
    <x v="99"/>
    <x v="99"/>
    <x v="99"/>
  </r>
  <r>
    <n v="1026"/>
    <x v="86"/>
    <x v="4"/>
    <x v="1"/>
    <x v="100"/>
    <x v="12"/>
    <x v="3"/>
    <n v="1265.48"/>
    <n v="1715.83"/>
    <x v="1"/>
    <n v="0.05"/>
    <x v="2"/>
    <x v="1"/>
    <s v="West-Alice"/>
    <x v="0"/>
    <x v="2"/>
    <x v="100"/>
    <x v="100"/>
    <x v="100"/>
  </r>
  <r>
    <n v="1089"/>
    <x v="58"/>
    <x v="2"/>
    <x v="0"/>
    <x v="101"/>
    <x v="22"/>
    <x v="2"/>
    <n v="4071.01"/>
    <n v="4304.7"/>
    <x v="1"/>
    <n v="0.14000000000000001"/>
    <x v="2"/>
    <x v="0"/>
    <s v="North-Charlie"/>
    <x v="5"/>
    <x v="5"/>
    <x v="101"/>
    <x v="101"/>
    <x v="101"/>
  </r>
  <r>
    <n v="1060"/>
    <x v="87"/>
    <x v="0"/>
    <x v="1"/>
    <x v="102"/>
    <x v="7"/>
    <x v="2"/>
    <n v="1747.05"/>
    <n v="1830.27"/>
    <x v="1"/>
    <n v="0.15"/>
    <x v="1"/>
    <x v="1"/>
    <s v="West-Bob"/>
    <x v="7"/>
    <x v="4"/>
    <x v="102"/>
    <x v="102"/>
    <x v="102"/>
  </r>
  <r>
    <n v="1041"/>
    <x v="10"/>
    <x v="1"/>
    <x v="2"/>
    <x v="103"/>
    <x v="11"/>
    <x v="1"/>
    <n v="601.86"/>
    <n v="1067.53"/>
    <x v="1"/>
    <n v="0.18"/>
    <x v="0"/>
    <x v="0"/>
    <s v="South-David"/>
    <x v="8"/>
    <x v="1"/>
    <x v="103"/>
    <x v="103"/>
    <x v="103"/>
  </r>
  <r>
    <n v="1029"/>
    <x v="88"/>
    <x v="1"/>
    <x v="3"/>
    <x v="104"/>
    <x v="40"/>
    <x v="2"/>
    <n v="2873.53"/>
    <n v="3108.3"/>
    <x v="1"/>
    <n v="0.15"/>
    <x v="2"/>
    <x v="1"/>
    <s v="East-David"/>
    <x v="4"/>
    <x v="6"/>
    <x v="104"/>
    <x v="104"/>
    <x v="104"/>
  </r>
  <r>
    <n v="1015"/>
    <x v="10"/>
    <x v="3"/>
    <x v="3"/>
    <x v="105"/>
    <x v="21"/>
    <x v="0"/>
    <n v="2928.74"/>
    <n v="3027.74"/>
    <x v="1"/>
    <n v="0.15"/>
    <x v="1"/>
    <x v="1"/>
    <s v="East-Eve"/>
    <x v="8"/>
    <x v="1"/>
    <x v="105"/>
    <x v="105"/>
    <x v="105"/>
  </r>
  <r>
    <n v="1045"/>
    <x v="89"/>
    <x v="1"/>
    <x v="2"/>
    <x v="106"/>
    <x v="31"/>
    <x v="2"/>
    <n v="3587.74"/>
    <n v="3745.91"/>
    <x v="0"/>
    <n v="0.1"/>
    <x v="0"/>
    <x v="0"/>
    <s v="South-David"/>
    <x v="9"/>
    <x v="0"/>
    <x v="106"/>
    <x v="106"/>
    <x v="106"/>
  </r>
  <r>
    <n v="1065"/>
    <x v="90"/>
    <x v="0"/>
    <x v="3"/>
    <x v="107"/>
    <x v="0"/>
    <x v="1"/>
    <n v="1239.0899999999999"/>
    <n v="1273.98"/>
    <x v="1"/>
    <n v="0.02"/>
    <x v="1"/>
    <x v="1"/>
    <s v="East-Bob"/>
    <x v="8"/>
    <x v="0"/>
    <x v="107"/>
    <x v="107"/>
    <x v="107"/>
  </r>
  <r>
    <n v="1089"/>
    <x v="91"/>
    <x v="0"/>
    <x v="2"/>
    <x v="108"/>
    <x v="10"/>
    <x v="1"/>
    <n v="2246.67"/>
    <n v="2486.14"/>
    <x v="1"/>
    <n v="0.03"/>
    <x v="0"/>
    <x v="1"/>
    <s v="South-Bob"/>
    <x v="2"/>
    <x v="5"/>
    <x v="108"/>
    <x v="108"/>
    <x v="108"/>
  </r>
  <r>
    <n v="1071"/>
    <x v="92"/>
    <x v="1"/>
    <x v="3"/>
    <x v="109"/>
    <x v="11"/>
    <x v="1"/>
    <n v="1447.72"/>
    <n v="1875.75"/>
    <x v="1"/>
    <n v="0.13"/>
    <x v="0"/>
    <x v="1"/>
    <s v="East-David"/>
    <x v="9"/>
    <x v="6"/>
    <x v="109"/>
    <x v="109"/>
    <x v="109"/>
  </r>
  <r>
    <n v="1009"/>
    <x v="14"/>
    <x v="0"/>
    <x v="1"/>
    <x v="110"/>
    <x v="19"/>
    <x v="2"/>
    <n v="450.72"/>
    <n v="918.17"/>
    <x v="0"/>
    <n v="0.11"/>
    <x v="0"/>
    <x v="0"/>
    <s v="West-Bob"/>
    <x v="3"/>
    <x v="1"/>
    <x v="110"/>
    <x v="110"/>
    <x v="110"/>
  </r>
  <r>
    <n v="1088"/>
    <x v="93"/>
    <x v="3"/>
    <x v="0"/>
    <x v="111"/>
    <x v="26"/>
    <x v="2"/>
    <n v="4389.24"/>
    <n v="4856.2199999999903"/>
    <x v="0"/>
    <n v="0.15"/>
    <x v="0"/>
    <x v="1"/>
    <s v="North-Eve"/>
    <x v="2"/>
    <x v="6"/>
    <x v="111"/>
    <x v="111"/>
    <x v="111"/>
  </r>
  <r>
    <n v="1001"/>
    <x v="94"/>
    <x v="4"/>
    <x v="0"/>
    <x v="112"/>
    <x v="29"/>
    <x v="3"/>
    <n v="3657.91"/>
    <n v="3729.27"/>
    <x v="1"/>
    <n v="0.09"/>
    <x v="1"/>
    <x v="1"/>
    <s v="North-Alice"/>
    <x v="8"/>
    <x v="5"/>
    <x v="112"/>
    <x v="112"/>
    <x v="112"/>
  </r>
  <r>
    <n v="1008"/>
    <x v="95"/>
    <x v="3"/>
    <x v="1"/>
    <x v="113"/>
    <x v="38"/>
    <x v="3"/>
    <n v="1542.24"/>
    <n v="1739.45"/>
    <x v="0"/>
    <n v="0.21"/>
    <x v="1"/>
    <x v="1"/>
    <s v="West-Eve"/>
    <x v="7"/>
    <x v="0"/>
    <x v="113"/>
    <x v="113"/>
    <x v="113"/>
  </r>
  <r>
    <n v="1088"/>
    <x v="96"/>
    <x v="3"/>
    <x v="1"/>
    <x v="114"/>
    <x v="25"/>
    <x v="0"/>
    <n v="3016.9"/>
    <n v="3040.73"/>
    <x v="1"/>
    <n v="0.26"/>
    <x v="1"/>
    <x v="1"/>
    <s v="West-Eve"/>
    <x v="7"/>
    <x v="6"/>
    <x v="114"/>
    <x v="114"/>
    <x v="114"/>
  </r>
  <r>
    <n v="1063"/>
    <x v="97"/>
    <x v="0"/>
    <x v="2"/>
    <x v="115"/>
    <x v="41"/>
    <x v="3"/>
    <n v="1046.26"/>
    <n v="1475.29"/>
    <x v="0"/>
    <n v="0.09"/>
    <x v="1"/>
    <x v="1"/>
    <s v="South-Bob"/>
    <x v="3"/>
    <x v="3"/>
    <x v="115"/>
    <x v="115"/>
    <x v="115"/>
  </r>
  <r>
    <n v="1011"/>
    <x v="98"/>
    <x v="4"/>
    <x v="2"/>
    <x v="116"/>
    <x v="34"/>
    <x v="0"/>
    <n v="4456.67"/>
    <n v="4642.46"/>
    <x v="1"/>
    <n v="0.06"/>
    <x v="1"/>
    <x v="0"/>
    <s v="South-Alice"/>
    <x v="6"/>
    <x v="6"/>
    <x v="116"/>
    <x v="116"/>
    <x v="116"/>
  </r>
  <r>
    <n v="1081"/>
    <x v="99"/>
    <x v="0"/>
    <x v="2"/>
    <x v="117"/>
    <x v="16"/>
    <x v="1"/>
    <n v="618.79"/>
    <n v="938.04"/>
    <x v="0"/>
    <n v="0.03"/>
    <x v="0"/>
    <x v="0"/>
    <s v="South-Bob"/>
    <x v="5"/>
    <x v="1"/>
    <x v="117"/>
    <x v="117"/>
    <x v="117"/>
  </r>
  <r>
    <n v="1008"/>
    <x v="100"/>
    <x v="2"/>
    <x v="3"/>
    <x v="118"/>
    <x v="30"/>
    <x v="3"/>
    <n v="68.989999999999995"/>
    <n v="429.29"/>
    <x v="0"/>
    <n v="0.18"/>
    <x v="2"/>
    <x v="1"/>
    <s v="East-Charlie"/>
    <x v="9"/>
    <x v="3"/>
    <x v="118"/>
    <x v="118"/>
    <x v="118"/>
  </r>
  <r>
    <n v="1035"/>
    <x v="101"/>
    <x v="0"/>
    <x v="2"/>
    <x v="119"/>
    <x v="14"/>
    <x v="2"/>
    <n v="2534.94"/>
    <n v="2755.56"/>
    <x v="0"/>
    <n v="0.13"/>
    <x v="2"/>
    <x v="1"/>
    <s v="South-Bob"/>
    <x v="4"/>
    <x v="5"/>
    <x v="119"/>
    <x v="119"/>
    <x v="119"/>
  </r>
  <r>
    <n v="1035"/>
    <x v="42"/>
    <x v="0"/>
    <x v="1"/>
    <x v="120"/>
    <x v="20"/>
    <x v="3"/>
    <n v="2936.48"/>
    <n v="3096.64"/>
    <x v="1"/>
    <n v="0.06"/>
    <x v="1"/>
    <x v="0"/>
    <s v="West-Bob"/>
    <x v="4"/>
    <x v="0"/>
    <x v="120"/>
    <x v="120"/>
    <x v="120"/>
  </r>
  <r>
    <n v="1033"/>
    <x v="102"/>
    <x v="0"/>
    <x v="0"/>
    <x v="121"/>
    <x v="25"/>
    <x v="0"/>
    <n v="2915.88"/>
    <n v="3397.36"/>
    <x v="1"/>
    <n v="0.2"/>
    <x v="1"/>
    <x v="1"/>
    <s v="North-Bob"/>
    <x v="10"/>
    <x v="0"/>
    <x v="121"/>
    <x v="121"/>
    <x v="121"/>
  </r>
  <r>
    <n v="1005"/>
    <x v="103"/>
    <x v="4"/>
    <x v="3"/>
    <x v="122"/>
    <x v="26"/>
    <x v="3"/>
    <n v="319.83"/>
    <n v="802.43"/>
    <x v="1"/>
    <n v="0.04"/>
    <x v="2"/>
    <x v="1"/>
    <s v="East-Alice"/>
    <x v="4"/>
    <x v="1"/>
    <x v="122"/>
    <x v="122"/>
    <x v="122"/>
  </r>
  <r>
    <n v="1041"/>
    <x v="104"/>
    <x v="0"/>
    <x v="2"/>
    <x v="123"/>
    <x v="17"/>
    <x v="1"/>
    <n v="1604.52"/>
    <n v="1756.34"/>
    <x v="0"/>
    <n v="0.17"/>
    <x v="0"/>
    <x v="1"/>
    <s v="South-Bob"/>
    <x v="3"/>
    <x v="0"/>
    <x v="123"/>
    <x v="123"/>
    <x v="123"/>
  </r>
  <r>
    <n v="1028"/>
    <x v="5"/>
    <x v="4"/>
    <x v="3"/>
    <x v="124"/>
    <x v="38"/>
    <x v="2"/>
    <n v="2521.0300000000002"/>
    <n v="2766.05"/>
    <x v="0"/>
    <n v="0.16"/>
    <x v="1"/>
    <x v="1"/>
    <s v="East-Alice"/>
    <x v="0"/>
    <x v="2"/>
    <x v="124"/>
    <x v="124"/>
    <x v="124"/>
  </r>
  <r>
    <n v="1007"/>
    <x v="103"/>
    <x v="1"/>
    <x v="3"/>
    <x v="125"/>
    <x v="28"/>
    <x v="0"/>
    <n v="1122.07"/>
    <n v="1608.76"/>
    <x v="1"/>
    <n v="0.22"/>
    <x v="0"/>
    <x v="1"/>
    <s v="East-David"/>
    <x v="4"/>
    <x v="1"/>
    <x v="125"/>
    <x v="125"/>
    <x v="125"/>
  </r>
  <r>
    <n v="1073"/>
    <x v="87"/>
    <x v="2"/>
    <x v="2"/>
    <x v="126"/>
    <x v="27"/>
    <x v="2"/>
    <n v="4369.5"/>
    <n v="4381.8900000000003"/>
    <x v="0"/>
    <n v="0.02"/>
    <x v="2"/>
    <x v="1"/>
    <s v="South-Charlie"/>
    <x v="7"/>
    <x v="4"/>
    <x v="126"/>
    <x v="126"/>
    <x v="126"/>
  </r>
  <r>
    <n v="1072"/>
    <x v="90"/>
    <x v="4"/>
    <x v="3"/>
    <x v="127"/>
    <x v="44"/>
    <x v="2"/>
    <n v="481.19"/>
    <n v="693.4"/>
    <x v="1"/>
    <n v="0.27"/>
    <x v="2"/>
    <x v="1"/>
    <s v="East-Alice"/>
    <x v="8"/>
    <x v="0"/>
    <x v="127"/>
    <x v="127"/>
    <x v="127"/>
  </r>
  <r>
    <n v="1012"/>
    <x v="105"/>
    <x v="1"/>
    <x v="0"/>
    <x v="128"/>
    <x v="24"/>
    <x v="0"/>
    <n v="2462.5500000000002"/>
    <n v="2521.77"/>
    <x v="1"/>
    <n v="0.21"/>
    <x v="1"/>
    <x v="1"/>
    <s v="North-David"/>
    <x v="7"/>
    <x v="5"/>
    <x v="128"/>
    <x v="128"/>
    <x v="128"/>
  </r>
  <r>
    <n v="1034"/>
    <x v="106"/>
    <x v="4"/>
    <x v="1"/>
    <x v="129"/>
    <x v="45"/>
    <x v="2"/>
    <n v="3472.51"/>
    <n v="3732"/>
    <x v="1"/>
    <n v="0.06"/>
    <x v="0"/>
    <x v="0"/>
    <s v="West-Alice"/>
    <x v="1"/>
    <x v="0"/>
    <x v="129"/>
    <x v="129"/>
    <x v="129"/>
  </r>
  <r>
    <n v="1033"/>
    <x v="107"/>
    <x v="4"/>
    <x v="1"/>
    <x v="130"/>
    <x v="38"/>
    <x v="2"/>
    <n v="1345.67"/>
    <n v="1367.76"/>
    <x v="1"/>
    <n v="0.06"/>
    <x v="1"/>
    <x v="0"/>
    <s v="West-Alice"/>
    <x v="5"/>
    <x v="2"/>
    <x v="130"/>
    <x v="130"/>
    <x v="130"/>
  </r>
  <r>
    <n v="1048"/>
    <x v="108"/>
    <x v="2"/>
    <x v="0"/>
    <x v="131"/>
    <x v="31"/>
    <x v="3"/>
    <n v="3139.99"/>
    <n v="3349.37"/>
    <x v="0"/>
    <n v="0.13"/>
    <x v="2"/>
    <x v="1"/>
    <s v="North-Charlie"/>
    <x v="7"/>
    <x v="5"/>
    <x v="131"/>
    <x v="131"/>
    <x v="131"/>
  </r>
  <r>
    <n v="1023"/>
    <x v="109"/>
    <x v="3"/>
    <x v="3"/>
    <x v="132"/>
    <x v="14"/>
    <x v="2"/>
    <n v="4155.46"/>
    <n v="4273.6000000000004"/>
    <x v="0"/>
    <n v="0.25"/>
    <x v="0"/>
    <x v="1"/>
    <s v="East-Eve"/>
    <x v="6"/>
    <x v="6"/>
    <x v="132"/>
    <x v="132"/>
    <x v="132"/>
  </r>
  <r>
    <n v="1062"/>
    <x v="110"/>
    <x v="3"/>
    <x v="2"/>
    <x v="133"/>
    <x v="42"/>
    <x v="2"/>
    <n v="992.17"/>
    <n v="1263.49"/>
    <x v="0"/>
    <n v="0.25"/>
    <x v="1"/>
    <x v="1"/>
    <s v="South-Eve"/>
    <x v="10"/>
    <x v="0"/>
    <x v="133"/>
    <x v="133"/>
    <x v="133"/>
  </r>
  <r>
    <n v="1088"/>
    <x v="111"/>
    <x v="4"/>
    <x v="3"/>
    <x v="134"/>
    <x v="46"/>
    <x v="2"/>
    <n v="4590.24"/>
    <n v="5088.28"/>
    <x v="1"/>
    <n v="0.16"/>
    <x v="1"/>
    <x v="1"/>
    <s v="East-Alice"/>
    <x v="9"/>
    <x v="3"/>
    <x v="134"/>
    <x v="134"/>
    <x v="134"/>
  </r>
  <r>
    <n v="1037"/>
    <x v="112"/>
    <x v="0"/>
    <x v="0"/>
    <x v="135"/>
    <x v="11"/>
    <x v="2"/>
    <n v="2790.11"/>
    <n v="3192.37"/>
    <x v="0"/>
    <n v="0.26"/>
    <x v="1"/>
    <x v="0"/>
    <s v="North-Bob"/>
    <x v="5"/>
    <x v="4"/>
    <x v="135"/>
    <x v="135"/>
    <x v="135"/>
  </r>
  <r>
    <n v="1099"/>
    <x v="113"/>
    <x v="1"/>
    <x v="3"/>
    <x v="136"/>
    <x v="15"/>
    <x v="0"/>
    <n v="1531.2"/>
    <n v="1955.56"/>
    <x v="1"/>
    <n v="0"/>
    <x v="2"/>
    <x v="0"/>
    <s v="East-David"/>
    <x v="4"/>
    <x v="2"/>
    <x v="136"/>
    <x v="136"/>
    <x v="136"/>
  </r>
  <r>
    <n v="1044"/>
    <x v="114"/>
    <x v="0"/>
    <x v="1"/>
    <x v="137"/>
    <x v="12"/>
    <x v="1"/>
    <n v="2182.75"/>
    <n v="2504.0299999999902"/>
    <x v="1"/>
    <n v="0.01"/>
    <x v="1"/>
    <x v="0"/>
    <s v="West-Bob"/>
    <x v="10"/>
    <x v="3"/>
    <x v="137"/>
    <x v="137"/>
    <x v="137"/>
  </r>
  <r>
    <n v="1086"/>
    <x v="115"/>
    <x v="0"/>
    <x v="3"/>
    <x v="138"/>
    <x v="45"/>
    <x v="3"/>
    <n v="1595.35"/>
    <n v="1625.70999999999"/>
    <x v="1"/>
    <n v="0.27"/>
    <x v="0"/>
    <x v="0"/>
    <s v="East-Bob"/>
    <x v="6"/>
    <x v="0"/>
    <x v="138"/>
    <x v="138"/>
    <x v="138"/>
  </r>
  <r>
    <n v="1091"/>
    <x v="116"/>
    <x v="4"/>
    <x v="0"/>
    <x v="139"/>
    <x v="38"/>
    <x v="2"/>
    <n v="3639.3"/>
    <n v="3750.63"/>
    <x v="1"/>
    <n v="0.23"/>
    <x v="1"/>
    <x v="1"/>
    <s v="North-Alice"/>
    <x v="10"/>
    <x v="1"/>
    <x v="139"/>
    <x v="139"/>
    <x v="139"/>
  </r>
  <r>
    <n v="1035"/>
    <x v="53"/>
    <x v="4"/>
    <x v="1"/>
    <x v="140"/>
    <x v="47"/>
    <x v="2"/>
    <n v="3991.69"/>
    <n v="4454.97"/>
    <x v="1"/>
    <n v="0.14000000000000001"/>
    <x v="2"/>
    <x v="1"/>
    <s v="West-Alice"/>
    <x v="3"/>
    <x v="5"/>
    <x v="140"/>
    <x v="140"/>
    <x v="140"/>
  </r>
  <r>
    <n v="1065"/>
    <x v="117"/>
    <x v="4"/>
    <x v="3"/>
    <x v="141"/>
    <x v="45"/>
    <x v="0"/>
    <n v="4173.04"/>
    <n v="4362.4399999999996"/>
    <x v="1"/>
    <n v="0.23"/>
    <x v="1"/>
    <x v="1"/>
    <s v="East-Alice"/>
    <x v="8"/>
    <x v="5"/>
    <x v="141"/>
    <x v="141"/>
    <x v="141"/>
  </r>
  <r>
    <n v="1099"/>
    <x v="106"/>
    <x v="4"/>
    <x v="3"/>
    <x v="142"/>
    <x v="30"/>
    <x v="1"/>
    <n v="4929.55"/>
    <n v="4990.33"/>
    <x v="0"/>
    <n v="0.28999999999999998"/>
    <x v="2"/>
    <x v="0"/>
    <s v="East-Alice"/>
    <x v="1"/>
    <x v="0"/>
    <x v="142"/>
    <x v="142"/>
    <x v="142"/>
  </r>
  <r>
    <n v="1047"/>
    <x v="106"/>
    <x v="3"/>
    <x v="1"/>
    <x v="143"/>
    <x v="25"/>
    <x v="2"/>
    <n v="3966.86"/>
    <n v="4321.04"/>
    <x v="0"/>
    <n v="0.23"/>
    <x v="2"/>
    <x v="1"/>
    <s v="West-Eve"/>
    <x v="1"/>
    <x v="0"/>
    <x v="143"/>
    <x v="143"/>
    <x v="143"/>
  </r>
  <r>
    <n v="1078"/>
    <x v="118"/>
    <x v="4"/>
    <x v="2"/>
    <x v="144"/>
    <x v="37"/>
    <x v="0"/>
    <n v="3026.85"/>
    <n v="3183.58"/>
    <x v="0"/>
    <n v="0.25"/>
    <x v="0"/>
    <x v="1"/>
    <s v="South-Alice"/>
    <x v="0"/>
    <x v="6"/>
    <x v="144"/>
    <x v="144"/>
    <x v="144"/>
  </r>
  <r>
    <n v="1003"/>
    <x v="18"/>
    <x v="3"/>
    <x v="1"/>
    <x v="145"/>
    <x v="13"/>
    <x v="3"/>
    <n v="1729.14"/>
    <n v="1870.88"/>
    <x v="0"/>
    <n v="0.23"/>
    <x v="0"/>
    <x v="0"/>
    <s v="West-Eve"/>
    <x v="11"/>
    <x v="4"/>
    <x v="145"/>
    <x v="145"/>
    <x v="145"/>
  </r>
  <r>
    <n v="1001"/>
    <x v="39"/>
    <x v="3"/>
    <x v="2"/>
    <x v="146"/>
    <x v="22"/>
    <x v="3"/>
    <n v="2745.75"/>
    <n v="3244.76"/>
    <x v="1"/>
    <n v="0.05"/>
    <x v="1"/>
    <x v="0"/>
    <s v="South-Eve"/>
    <x v="10"/>
    <x v="5"/>
    <x v="146"/>
    <x v="146"/>
    <x v="146"/>
  </r>
  <r>
    <n v="1005"/>
    <x v="119"/>
    <x v="4"/>
    <x v="0"/>
    <x v="147"/>
    <x v="26"/>
    <x v="2"/>
    <n v="253.29"/>
    <n v="683.78"/>
    <x v="1"/>
    <n v="0.25"/>
    <x v="2"/>
    <x v="0"/>
    <s v="North-Alice"/>
    <x v="4"/>
    <x v="6"/>
    <x v="147"/>
    <x v="147"/>
    <x v="147"/>
  </r>
  <r>
    <n v="1090"/>
    <x v="109"/>
    <x v="2"/>
    <x v="0"/>
    <x v="148"/>
    <x v="36"/>
    <x v="2"/>
    <n v="3736.88"/>
    <n v="3946.77"/>
    <x v="0"/>
    <n v="0.06"/>
    <x v="2"/>
    <x v="0"/>
    <s v="North-Charlie"/>
    <x v="6"/>
    <x v="6"/>
    <x v="148"/>
    <x v="148"/>
    <x v="148"/>
  </r>
  <r>
    <n v="1014"/>
    <x v="5"/>
    <x v="1"/>
    <x v="1"/>
    <x v="149"/>
    <x v="16"/>
    <x v="1"/>
    <n v="2257.48"/>
    <n v="2747.81"/>
    <x v="0"/>
    <n v="0.27"/>
    <x v="0"/>
    <x v="0"/>
    <s v="West-David"/>
    <x v="0"/>
    <x v="2"/>
    <x v="149"/>
    <x v="149"/>
    <x v="149"/>
  </r>
  <r>
    <n v="1027"/>
    <x v="120"/>
    <x v="0"/>
    <x v="1"/>
    <x v="150"/>
    <x v="42"/>
    <x v="1"/>
    <n v="149.11000000000001"/>
    <n v="477.67"/>
    <x v="0"/>
    <n v="0.14000000000000001"/>
    <x v="0"/>
    <x v="1"/>
    <s v="West-Bob"/>
    <x v="5"/>
    <x v="5"/>
    <x v="150"/>
    <x v="150"/>
    <x v="150"/>
  </r>
  <r>
    <n v="1009"/>
    <x v="1"/>
    <x v="3"/>
    <x v="0"/>
    <x v="151"/>
    <x v="20"/>
    <x v="2"/>
    <n v="359.41"/>
    <n v="733"/>
    <x v="0"/>
    <n v="0.2"/>
    <x v="1"/>
    <x v="1"/>
    <s v="North-Eve"/>
    <x v="1"/>
    <x v="0"/>
    <x v="151"/>
    <x v="151"/>
    <x v="151"/>
  </r>
  <r>
    <n v="1079"/>
    <x v="121"/>
    <x v="1"/>
    <x v="2"/>
    <x v="152"/>
    <x v="24"/>
    <x v="0"/>
    <n v="1967.96"/>
    <n v="1993.4"/>
    <x v="0"/>
    <n v="0.15"/>
    <x v="2"/>
    <x v="0"/>
    <s v="South-David"/>
    <x v="6"/>
    <x v="3"/>
    <x v="152"/>
    <x v="152"/>
    <x v="152"/>
  </r>
  <r>
    <n v="1015"/>
    <x v="15"/>
    <x v="2"/>
    <x v="0"/>
    <x v="153"/>
    <x v="18"/>
    <x v="1"/>
    <n v="2937.94"/>
    <n v="3007.53"/>
    <x v="0"/>
    <n v="0.03"/>
    <x v="0"/>
    <x v="1"/>
    <s v="North-Charlie"/>
    <x v="7"/>
    <x v="4"/>
    <x v="153"/>
    <x v="153"/>
    <x v="153"/>
  </r>
  <r>
    <n v="1090"/>
    <x v="122"/>
    <x v="0"/>
    <x v="1"/>
    <x v="154"/>
    <x v="17"/>
    <x v="2"/>
    <n v="2347.81"/>
    <n v="2668.02"/>
    <x v="0"/>
    <n v="0.09"/>
    <x v="1"/>
    <x v="1"/>
    <s v="West-Bob"/>
    <x v="3"/>
    <x v="2"/>
    <x v="154"/>
    <x v="154"/>
    <x v="154"/>
  </r>
  <r>
    <n v="1042"/>
    <x v="121"/>
    <x v="0"/>
    <x v="0"/>
    <x v="155"/>
    <x v="46"/>
    <x v="1"/>
    <n v="3115.06"/>
    <n v="3565.58"/>
    <x v="0"/>
    <n v="0.3"/>
    <x v="2"/>
    <x v="1"/>
    <s v="North-Bob"/>
    <x v="6"/>
    <x v="3"/>
    <x v="155"/>
    <x v="155"/>
    <x v="155"/>
  </r>
  <r>
    <n v="1077"/>
    <x v="61"/>
    <x v="3"/>
    <x v="1"/>
    <x v="156"/>
    <x v="26"/>
    <x v="2"/>
    <n v="2427.46"/>
    <n v="2743.09"/>
    <x v="1"/>
    <n v="0.28999999999999998"/>
    <x v="2"/>
    <x v="1"/>
    <s v="West-Eve"/>
    <x v="0"/>
    <x v="3"/>
    <x v="156"/>
    <x v="156"/>
    <x v="156"/>
  </r>
  <r>
    <n v="1051"/>
    <x v="123"/>
    <x v="4"/>
    <x v="1"/>
    <x v="157"/>
    <x v="18"/>
    <x v="3"/>
    <n v="3325.43"/>
    <n v="3401.1"/>
    <x v="1"/>
    <n v="0.1"/>
    <x v="0"/>
    <x v="0"/>
    <s v="West-Alice"/>
    <x v="1"/>
    <x v="0"/>
    <x v="157"/>
    <x v="157"/>
    <x v="157"/>
  </r>
  <r>
    <n v="1063"/>
    <x v="15"/>
    <x v="2"/>
    <x v="0"/>
    <x v="158"/>
    <x v="41"/>
    <x v="2"/>
    <n v="1134.67"/>
    <n v="1201.3900000000001"/>
    <x v="1"/>
    <n v="0.3"/>
    <x v="1"/>
    <x v="1"/>
    <s v="North-Charlie"/>
    <x v="7"/>
    <x v="4"/>
    <x v="158"/>
    <x v="158"/>
    <x v="158"/>
  </r>
  <r>
    <n v="1096"/>
    <x v="124"/>
    <x v="3"/>
    <x v="2"/>
    <x v="159"/>
    <x v="18"/>
    <x v="3"/>
    <n v="608.57000000000005"/>
    <n v="1032.22"/>
    <x v="1"/>
    <n v="0.25"/>
    <x v="0"/>
    <x v="1"/>
    <s v="South-Eve"/>
    <x v="2"/>
    <x v="4"/>
    <x v="159"/>
    <x v="159"/>
    <x v="159"/>
  </r>
  <r>
    <n v="1052"/>
    <x v="125"/>
    <x v="2"/>
    <x v="3"/>
    <x v="160"/>
    <x v="10"/>
    <x v="1"/>
    <n v="3002.35"/>
    <n v="3080.61"/>
    <x v="0"/>
    <n v="0.18"/>
    <x v="1"/>
    <x v="1"/>
    <s v="East-Charlie"/>
    <x v="11"/>
    <x v="2"/>
    <x v="160"/>
    <x v="160"/>
    <x v="160"/>
  </r>
  <r>
    <n v="1096"/>
    <x v="126"/>
    <x v="4"/>
    <x v="0"/>
    <x v="161"/>
    <x v="10"/>
    <x v="2"/>
    <n v="2449.21"/>
    <n v="2714.12"/>
    <x v="1"/>
    <n v="0.01"/>
    <x v="2"/>
    <x v="0"/>
    <s v="North-Alice"/>
    <x v="4"/>
    <x v="4"/>
    <x v="161"/>
    <x v="161"/>
    <x v="161"/>
  </r>
  <r>
    <n v="1004"/>
    <x v="35"/>
    <x v="4"/>
    <x v="3"/>
    <x v="162"/>
    <x v="21"/>
    <x v="1"/>
    <n v="182.99"/>
    <n v="211.18"/>
    <x v="0"/>
    <n v="0.27"/>
    <x v="1"/>
    <x v="1"/>
    <s v="East-Alice"/>
    <x v="8"/>
    <x v="2"/>
    <x v="162"/>
    <x v="162"/>
    <x v="162"/>
  </r>
  <r>
    <n v="1094"/>
    <x v="69"/>
    <x v="3"/>
    <x v="0"/>
    <x v="163"/>
    <x v="44"/>
    <x v="3"/>
    <n v="1933.39"/>
    <n v="1982.92"/>
    <x v="1"/>
    <n v="0.17"/>
    <x v="1"/>
    <x v="0"/>
    <s v="North-Eve"/>
    <x v="5"/>
    <x v="3"/>
    <x v="163"/>
    <x v="163"/>
    <x v="163"/>
  </r>
  <r>
    <n v="1023"/>
    <x v="99"/>
    <x v="4"/>
    <x v="3"/>
    <x v="164"/>
    <x v="39"/>
    <x v="2"/>
    <n v="575.32000000000005"/>
    <n v="914.77"/>
    <x v="0"/>
    <n v="0.26"/>
    <x v="1"/>
    <x v="0"/>
    <s v="East-Alice"/>
    <x v="5"/>
    <x v="1"/>
    <x v="164"/>
    <x v="164"/>
    <x v="164"/>
  </r>
  <r>
    <n v="1015"/>
    <x v="127"/>
    <x v="1"/>
    <x v="2"/>
    <x v="165"/>
    <x v="2"/>
    <x v="1"/>
    <n v="2680.22"/>
    <n v="3027.9199999999901"/>
    <x v="0"/>
    <n v="0.25"/>
    <x v="1"/>
    <x v="0"/>
    <s v="South-David"/>
    <x v="10"/>
    <x v="6"/>
    <x v="165"/>
    <x v="165"/>
    <x v="165"/>
  </r>
  <r>
    <n v="1043"/>
    <x v="128"/>
    <x v="0"/>
    <x v="2"/>
    <x v="166"/>
    <x v="45"/>
    <x v="3"/>
    <n v="2009.1"/>
    <n v="2186.42"/>
    <x v="1"/>
    <n v="0.25"/>
    <x v="1"/>
    <x v="0"/>
    <s v="South-Bob"/>
    <x v="8"/>
    <x v="5"/>
    <x v="166"/>
    <x v="166"/>
    <x v="166"/>
  </r>
  <r>
    <n v="1029"/>
    <x v="111"/>
    <x v="3"/>
    <x v="0"/>
    <x v="167"/>
    <x v="9"/>
    <x v="1"/>
    <n v="3085.1"/>
    <n v="3200.75"/>
    <x v="1"/>
    <n v="0.21"/>
    <x v="0"/>
    <x v="1"/>
    <s v="North-Eve"/>
    <x v="9"/>
    <x v="3"/>
    <x v="167"/>
    <x v="167"/>
    <x v="167"/>
  </r>
  <r>
    <n v="1036"/>
    <x v="40"/>
    <x v="2"/>
    <x v="1"/>
    <x v="168"/>
    <x v="44"/>
    <x v="0"/>
    <n v="4037.73"/>
    <n v="4446.45"/>
    <x v="0"/>
    <n v="0.09"/>
    <x v="1"/>
    <x v="0"/>
    <s v="West-Charlie"/>
    <x v="1"/>
    <x v="0"/>
    <x v="168"/>
    <x v="168"/>
    <x v="168"/>
  </r>
  <r>
    <n v="1013"/>
    <x v="129"/>
    <x v="1"/>
    <x v="3"/>
    <x v="169"/>
    <x v="46"/>
    <x v="3"/>
    <n v="1533.36"/>
    <n v="1649.73999999999"/>
    <x v="0"/>
    <n v="0.1"/>
    <x v="1"/>
    <x v="0"/>
    <s v="East-David"/>
    <x v="7"/>
    <x v="2"/>
    <x v="169"/>
    <x v="169"/>
    <x v="169"/>
  </r>
  <r>
    <n v="1032"/>
    <x v="130"/>
    <x v="3"/>
    <x v="1"/>
    <x v="170"/>
    <x v="37"/>
    <x v="3"/>
    <n v="4812.41"/>
    <n v="5088"/>
    <x v="0"/>
    <n v="0.09"/>
    <x v="2"/>
    <x v="0"/>
    <s v="West-Eve"/>
    <x v="6"/>
    <x v="1"/>
    <x v="170"/>
    <x v="170"/>
    <x v="170"/>
  </r>
  <r>
    <n v="1071"/>
    <x v="131"/>
    <x v="4"/>
    <x v="1"/>
    <x v="171"/>
    <x v="33"/>
    <x v="3"/>
    <n v="2701.39"/>
    <n v="3185.81"/>
    <x v="1"/>
    <n v="0.01"/>
    <x v="1"/>
    <x v="0"/>
    <s v="West-Alice"/>
    <x v="7"/>
    <x v="4"/>
    <x v="171"/>
    <x v="171"/>
    <x v="171"/>
  </r>
  <r>
    <n v="1059"/>
    <x v="132"/>
    <x v="4"/>
    <x v="1"/>
    <x v="172"/>
    <x v="9"/>
    <x v="2"/>
    <n v="3110.54"/>
    <n v="3192.99"/>
    <x v="1"/>
    <n v="0.17"/>
    <x v="2"/>
    <x v="0"/>
    <s v="West-Alice"/>
    <x v="3"/>
    <x v="6"/>
    <x v="172"/>
    <x v="172"/>
    <x v="172"/>
  </r>
  <r>
    <n v="1086"/>
    <x v="13"/>
    <x v="4"/>
    <x v="2"/>
    <x v="173"/>
    <x v="19"/>
    <x v="2"/>
    <n v="3419.33"/>
    <n v="3890.3599999999901"/>
    <x v="0"/>
    <n v="0.21"/>
    <x v="0"/>
    <x v="1"/>
    <s v="South-Alice"/>
    <x v="9"/>
    <x v="5"/>
    <x v="173"/>
    <x v="173"/>
    <x v="173"/>
  </r>
  <r>
    <n v="1028"/>
    <x v="133"/>
    <x v="4"/>
    <x v="0"/>
    <x v="174"/>
    <x v="34"/>
    <x v="2"/>
    <n v="3350.32"/>
    <n v="3449.94"/>
    <x v="1"/>
    <n v="0.26"/>
    <x v="0"/>
    <x v="0"/>
    <s v="North-Alice"/>
    <x v="3"/>
    <x v="0"/>
    <x v="174"/>
    <x v="174"/>
    <x v="174"/>
  </r>
  <r>
    <n v="1066"/>
    <x v="134"/>
    <x v="2"/>
    <x v="0"/>
    <x v="175"/>
    <x v="13"/>
    <x v="0"/>
    <n v="2579.31"/>
    <n v="2867.36"/>
    <x v="0"/>
    <n v="0.04"/>
    <x v="1"/>
    <x v="1"/>
    <s v="North-Charlie"/>
    <x v="11"/>
    <x v="4"/>
    <x v="175"/>
    <x v="175"/>
    <x v="175"/>
  </r>
  <r>
    <n v="1042"/>
    <x v="120"/>
    <x v="1"/>
    <x v="2"/>
    <x v="176"/>
    <x v="7"/>
    <x v="0"/>
    <n v="2172.38"/>
    <n v="2367.11"/>
    <x v="1"/>
    <n v="0.16"/>
    <x v="0"/>
    <x v="1"/>
    <s v="South-David"/>
    <x v="5"/>
    <x v="5"/>
    <x v="176"/>
    <x v="176"/>
    <x v="176"/>
  </r>
  <r>
    <n v="1045"/>
    <x v="121"/>
    <x v="0"/>
    <x v="2"/>
    <x v="177"/>
    <x v="13"/>
    <x v="3"/>
    <n v="316.22000000000003"/>
    <n v="799.04"/>
    <x v="1"/>
    <n v="0"/>
    <x v="1"/>
    <x v="0"/>
    <s v="South-Bob"/>
    <x v="6"/>
    <x v="3"/>
    <x v="177"/>
    <x v="177"/>
    <x v="177"/>
  </r>
  <r>
    <n v="1062"/>
    <x v="135"/>
    <x v="2"/>
    <x v="0"/>
    <x v="178"/>
    <x v="7"/>
    <x v="0"/>
    <n v="159.32"/>
    <n v="303.36"/>
    <x v="1"/>
    <n v="0.03"/>
    <x v="0"/>
    <x v="1"/>
    <s v="North-Charlie"/>
    <x v="10"/>
    <x v="3"/>
    <x v="178"/>
    <x v="178"/>
    <x v="178"/>
  </r>
  <r>
    <n v="1057"/>
    <x v="70"/>
    <x v="2"/>
    <x v="1"/>
    <x v="179"/>
    <x v="44"/>
    <x v="1"/>
    <n v="1821.91"/>
    <n v="2027.74"/>
    <x v="1"/>
    <n v="0.02"/>
    <x v="1"/>
    <x v="1"/>
    <s v="West-Charlie"/>
    <x v="2"/>
    <x v="4"/>
    <x v="179"/>
    <x v="179"/>
    <x v="179"/>
  </r>
  <r>
    <n v="1006"/>
    <x v="121"/>
    <x v="0"/>
    <x v="3"/>
    <x v="180"/>
    <x v="9"/>
    <x v="3"/>
    <n v="1701.62"/>
    <n v="2193.2199999999998"/>
    <x v="1"/>
    <n v="0.22"/>
    <x v="1"/>
    <x v="1"/>
    <s v="East-Bob"/>
    <x v="6"/>
    <x v="3"/>
    <x v="180"/>
    <x v="180"/>
    <x v="180"/>
  </r>
  <r>
    <n v="1028"/>
    <x v="57"/>
    <x v="0"/>
    <x v="3"/>
    <x v="181"/>
    <x v="38"/>
    <x v="3"/>
    <n v="1969.09"/>
    <n v="2241.96"/>
    <x v="0"/>
    <n v="0.02"/>
    <x v="2"/>
    <x v="0"/>
    <s v="East-Bob"/>
    <x v="0"/>
    <x v="1"/>
    <x v="181"/>
    <x v="181"/>
    <x v="181"/>
  </r>
  <r>
    <n v="1028"/>
    <x v="50"/>
    <x v="4"/>
    <x v="3"/>
    <x v="182"/>
    <x v="47"/>
    <x v="1"/>
    <n v="734.92"/>
    <n v="991.21"/>
    <x v="0"/>
    <n v="0.21"/>
    <x v="2"/>
    <x v="0"/>
    <s v="East-Alice"/>
    <x v="8"/>
    <x v="4"/>
    <x v="182"/>
    <x v="182"/>
    <x v="182"/>
  </r>
  <r>
    <n v="1044"/>
    <x v="136"/>
    <x v="2"/>
    <x v="1"/>
    <x v="183"/>
    <x v="32"/>
    <x v="3"/>
    <n v="3703.93"/>
    <n v="3840.24"/>
    <x v="1"/>
    <n v="7.0000000000000007E-2"/>
    <x v="2"/>
    <x v="0"/>
    <s v="West-Charlie"/>
    <x v="8"/>
    <x v="3"/>
    <x v="183"/>
    <x v="183"/>
    <x v="183"/>
  </r>
  <r>
    <n v="1084"/>
    <x v="46"/>
    <x v="3"/>
    <x v="0"/>
    <x v="184"/>
    <x v="37"/>
    <x v="0"/>
    <n v="4291.97"/>
    <n v="4645.6400000000003"/>
    <x v="0"/>
    <n v="0.26"/>
    <x v="2"/>
    <x v="0"/>
    <s v="North-Eve"/>
    <x v="6"/>
    <x v="1"/>
    <x v="184"/>
    <x v="184"/>
    <x v="184"/>
  </r>
  <r>
    <n v="1030"/>
    <x v="75"/>
    <x v="0"/>
    <x v="2"/>
    <x v="185"/>
    <x v="8"/>
    <x v="2"/>
    <n v="4696.6400000000003"/>
    <n v="4713.68"/>
    <x v="0"/>
    <n v="0.24"/>
    <x v="1"/>
    <x v="0"/>
    <s v="South-Bob"/>
    <x v="10"/>
    <x v="6"/>
    <x v="185"/>
    <x v="185"/>
    <x v="185"/>
  </r>
  <r>
    <n v="1062"/>
    <x v="25"/>
    <x v="0"/>
    <x v="0"/>
    <x v="186"/>
    <x v="10"/>
    <x v="1"/>
    <n v="2487.19"/>
    <n v="2521.4499999999998"/>
    <x v="1"/>
    <n v="0.28999999999999998"/>
    <x v="0"/>
    <x v="0"/>
    <s v="North-Bob"/>
    <x v="1"/>
    <x v="6"/>
    <x v="186"/>
    <x v="186"/>
    <x v="186"/>
  </r>
  <r>
    <n v="1075"/>
    <x v="137"/>
    <x v="1"/>
    <x v="1"/>
    <x v="187"/>
    <x v="16"/>
    <x v="0"/>
    <n v="3519.29"/>
    <n v="3822.98"/>
    <x v="0"/>
    <n v="0.27"/>
    <x v="1"/>
    <x v="0"/>
    <s v="West-David"/>
    <x v="1"/>
    <x v="3"/>
    <x v="187"/>
    <x v="187"/>
    <x v="187"/>
  </r>
  <r>
    <n v="1092"/>
    <x v="30"/>
    <x v="3"/>
    <x v="2"/>
    <x v="188"/>
    <x v="20"/>
    <x v="1"/>
    <n v="4284.9799999999996"/>
    <n v="4462.3999999999996"/>
    <x v="1"/>
    <n v="0.28000000000000003"/>
    <x v="2"/>
    <x v="1"/>
    <s v="South-Eve"/>
    <x v="3"/>
    <x v="1"/>
    <x v="188"/>
    <x v="188"/>
    <x v="188"/>
  </r>
  <r>
    <n v="1089"/>
    <x v="138"/>
    <x v="3"/>
    <x v="1"/>
    <x v="189"/>
    <x v="18"/>
    <x v="1"/>
    <n v="2120.54"/>
    <n v="2597.67"/>
    <x v="0"/>
    <n v="0.26"/>
    <x v="2"/>
    <x v="1"/>
    <s v="West-Eve"/>
    <x v="7"/>
    <x v="1"/>
    <x v="189"/>
    <x v="189"/>
    <x v="189"/>
  </r>
  <r>
    <n v="1062"/>
    <x v="9"/>
    <x v="0"/>
    <x v="3"/>
    <x v="190"/>
    <x v="41"/>
    <x v="3"/>
    <n v="1581.59"/>
    <n v="2034.1499999999901"/>
    <x v="0"/>
    <n v="0.21"/>
    <x v="0"/>
    <x v="0"/>
    <s v="East-Bob"/>
    <x v="7"/>
    <x v="4"/>
    <x v="190"/>
    <x v="190"/>
    <x v="190"/>
  </r>
  <r>
    <n v="1097"/>
    <x v="139"/>
    <x v="4"/>
    <x v="3"/>
    <x v="191"/>
    <x v="30"/>
    <x v="3"/>
    <n v="4686.79"/>
    <n v="5046.51"/>
    <x v="0"/>
    <n v="0.05"/>
    <x v="2"/>
    <x v="1"/>
    <s v="East-Alice"/>
    <x v="7"/>
    <x v="1"/>
    <x v="191"/>
    <x v="191"/>
    <x v="191"/>
  </r>
  <r>
    <n v="1001"/>
    <x v="140"/>
    <x v="1"/>
    <x v="1"/>
    <x v="192"/>
    <x v="0"/>
    <x v="0"/>
    <n v="2602.6"/>
    <n v="3013.49"/>
    <x v="0"/>
    <n v="0.08"/>
    <x v="1"/>
    <x v="0"/>
    <s v="West-David"/>
    <x v="7"/>
    <x v="3"/>
    <x v="192"/>
    <x v="192"/>
    <x v="192"/>
  </r>
  <r>
    <n v="1027"/>
    <x v="83"/>
    <x v="3"/>
    <x v="2"/>
    <x v="193"/>
    <x v="9"/>
    <x v="1"/>
    <n v="2511.41"/>
    <n v="2848.3999999999901"/>
    <x v="0"/>
    <n v="0.06"/>
    <x v="1"/>
    <x v="0"/>
    <s v="South-Eve"/>
    <x v="4"/>
    <x v="0"/>
    <x v="193"/>
    <x v="193"/>
    <x v="193"/>
  </r>
  <r>
    <n v="1062"/>
    <x v="141"/>
    <x v="0"/>
    <x v="2"/>
    <x v="194"/>
    <x v="40"/>
    <x v="3"/>
    <n v="933.16"/>
    <n v="1004.69999999999"/>
    <x v="0"/>
    <n v="0.18"/>
    <x v="1"/>
    <x v="0"/>
    <s v="South-Bob"/>
    <x v="10"/>
    <x v="5"/>
    <x v="194"/>
    <x v="194"/>
    <x v="194"/>
  </r>
  <r>
    <n v="1077"/>
    <x v="142"/>
    <x v="3"/>
    <x v="0"/>
    <x v="195"/>
    <x v="22"/>
    <x v="3"/>
    <n v="585.37"/>
    <n v="970.49"/>
    <x v="0"/>
    <n v="0.15"/>
    <x v="1"/>
    <x v="1"/>
    <s v="North-Eve"/>
    <x v="5"/>
    <x v="6"/>
    <x v="195"/>
    <x v="195"/>
    <x v="195"/>
  </r>
  <r>
    <n v="1003"/>
    <x v="124"/>
    <x v="1"/>
    <x v="3"/>
    <x v="196"/>
    <x v="33"/>
    <x v="1"/>
    <n v="4218.43"/>
    <n v="4331.42"/>
    <x v="1"/>
    <n v="0.26"/>
    <x v="1"/>
    <x v="0"/>
    <s v="East-David"/>
    <x v="2"/>
    <x v="4"/>
    <x v="196"/>
    <x v="196"/>
    <x v="196"/>
  </r>
  <r>
    <n v="1070"/>
    <x v="128"/>
    <x v="1"/>
    <x v="0"/>
    <x v="197"/>
    <x v="11"/>
    <x v="0"/>
    <n v="3089.96"/>
    <n v="3258.45"/>
    <x v="1"/>
    <n v="0.28999999999999998"/>
    <x v="0"/>
    <x v="0"/>
    <s v="North-David"/>
    <x v="8"/>
    <x v="5"/>
    <x v="197"/>
    <x v="197"/>
    <x v="197"/>
  </r>
  <r>
    <n v="1072"/>
    <x v="143"/>
    <x v="2"/>
    <x v="0"/>
    <x v="198"/>
    <x v="18"/>
    <x v="0"/>
    <n v="1662.83"/>
    <n v="2074.25"/>
    <x v="1"/>
    <n v="0.12"/>
    <x v="1"/>
    <x v="0"/>
    <s v="North-Charlie"/>
    <x v="9"/>
    <x v="3"/>
    <x v="198"/>
    <x v="198"/>
    <x v="198"/>
  </r>
  <r>
    <n v="1027"/>
    <x v="61"/>
    <x v="0"/>
    <x v="1"/>
    <x v="199"/>
    <x v="45"/>
    <x v="1"/>
    <n v="999.09"/>
    <n v="1271.99"/>
    <x v="1"/>
    <n v="0.15"/>
    <x v="2"/>
    <x v="0"/>
    <s v="West-Bob"/>
    <x v="0"/>
    <x v="3"/>
    <x v="199"/>
    <x v="199"/>
    <x v="199"/>
  </r>
  <r>
    <n v="1009"/>
    <x v="39"/>
    <x v="1"/>
    <x v="1"/>
    <x v="200"/>
    <x v="11"/>
    <x v="0"/>
    <n v="2799.71"/>
    <n v="3231.08"/>
    <x v="0"/>
    <n v="0.28999999999999998"/>
    <x v="2"/>
    <x v="1"/>
    <s v="West-David"/>
    <x v="10"/>
    <x v="5"/>
    <x v="200"/>
    <x v="200"/>
    <x v="200"/>
  </r>
  <r>
    <n v="1062"/>
    <x v="144"/>
    <x v="2"/>
    <x v="0"/>
    <x v="201"/>
    <x v="15"/>
    <x v="3"/>
    <n v="2940.4"/>
    <n v="3054.79"/>
    <x v="0"/>
    <n v="0.08"/>
    <x v="2"/>
    <x v="0"/>
    <s v="North-Charlie"/>
    <x v="11"/>
    <x v="6"/>
    <x v="201"/>
    <x v="201"/>
    <x v="201"/>
  </r>
  <r>
    <n v="1037"/>
    <x v="112"/>
    <x v="2"/>
    <x v="3"/>
    <x v="202"/>
    <x v="44"/>
    <x v="1"/>
    <n v="1074.6199999999999"/>
    <n v="1382.4299999999901"/>
    <x v="0"/>
    <n v="0.24"/>
    <x v="2"/>
    <x v="1"/>
    <s v="East-Charlie"/>
    <x v="5"/>
    <x v="4"/>
    <x v="202"/>
    <x v="202"/>
    <x v="202"/>
  </r>
  <r>
    <n v="1097"/>
    <x v="131"/>
    <x v="3"/>
    <x v="1"/>
    <x v="203"/>
    <x v="37"/>
    <x v="3"/>
    <n v="4264.46"/>
    <n v="4315.5200000000004"/>
    <x v="1"/>
    <n v="7.0000000000000007E-2"/>
    <x v="0"/>
    <x v="1"/>
    <s v="West-Eve"/>
    <x v="7"/>
    <x v="4"/>
    <x v="203"/>
    <x v="203"/>
    <x v="203"/>
  </r>
  <r>
    <n v="1051"/>
    <x v="145"/>
    <x v="3"/>
    <x v="0"/>
    <x v="204"/>
    <x v="29"/>
    <x v="2"/>
    <n v="467.11"/>
    <n v="792.21"/>
    <x v="1"/>
    <n v="0.2"/>
    <x v="2"/>
    <x v="0"/>
    <s v="North-Eve"/>
    <x v="9"/>
    <x v="3"/>
    <x v="204"/>
    <x v="204"/>
    <x v="204"/>
  </r>
  <r>
    <n v="1044"/>
    <x v="146"/>
    <x v="2"/>
    <x v="0"/>
    <x v="205"/>
    <x v="23"/>
    <x v="2"/>
    <n v="1812.66"/>
    <n v="2196.3000000000002"/>
    <x v="1"/>
    <n v="0.08"/>
    <x v="0"/>
    <x v="0"/>
    <s v="North-Charlie"/>
    <x v="7"/>
    <x v="5"/>
    <x v="205"/>
    <x v="205"/>
    <x v="205"/>
  </r>
  <r>
    <n v="1024"/>
    <x v="147"/>
    <x v="3"/>
    <x v="0"/>
    <x v="206"/>
    <x v="47"/>
    <x v="0"/>
    <n v="3417.9"/>
    <n v="3714.52"/>
    <x v="0"/>
    <n v="0.27"/>
    <x v="2"/>
    <x v="1"/>
    <s v="North-Eve"/>
    <x v="9"/>
    <x v="0"/>
    <x v="206"/>
    <x v="206"/>
    <x v="206"/>
  </r>
  <r>
    <n v="1079"/>
    <x v="148"/>
    <x v="1"/>
    <x v="0"/>
    <x v="207"/>
    <x v="27"/>
    <x v="2"/>
    <n v="1406.9"/>
    <n v="1547.35"/>
    <x v="1"/>
    <n v="0.17"/>
    <x v="0"/>
    <x v="1"/>
    <s v="North-David"/>
    <x v="3"/>
    <x v="5"/>
    <x v="207"/>
    <x v="207"/>
    <x v="207"/>
  </r>
  <r>
    <n v="1059"/>
    <x v="149"/>
    <x v="4"/>
    <x v="0"/>
    <x v="208"/>
    <x v="35"/>
    <x v="3"/>
    <n v="4146.99"/>
    <n v="4172.3499999999904"/>
    <x v="0"/>
    <n v="0.06"/>
    <x v="0"/>
    <x v="1"/>
    <s v="North-Alice"/>
    <x v="10"/>
    <x v="5"/>
    <x v="208"/>
    <x v="208"/>
    <x v="208"/>
  </r>
  <r>
    <n v="1032"/>
    <x v="106"/>
    <x v="1"/>
    <x v="0"/>
    <x v="209"/>
    <x v="27"/>
    <x v="2"/>
    <n v="3712.35"/>
    <n v="3780.88"/>
    <x v="1"/>
    <n v="7.0000000000000007E-2"/>
    <x v="0"/>
    <x v="1"/>
    <s v="North-David"/>
    <x v="1"/>
    <x v="0"/>
    <x v="209"/>
    <x v="209"/>
    <x v="209"/>
  </r>
  <r>
    <n v="1096"/>
    <x v="150"/>
    <x v="2"/>
    <x v="1"/>
    <x v="210"/>
    <x v="34"/>
    <x v="3"/>
    <n v="3955.66"/>
    <n v="4270.59"/>
    <x v="0"/>
    <n v="0.15"/>
    <x v="2"/>
    <x v="0"/>
    <s v="West-Charlie"/>
    <x v="11"/>
    <x v="2"/>
    <x v="210"/>
    <x v="210"/>
    <x v="210"/>
  </r>
  <r>
    <n v="1088"/>
    <x v="1"/>
    <x v="2"/>
    <x v="3"/>
    <x v="211"/>
    <x v="6"/>
    <x v="0"/>
    <n v="639.58000000000004"/>
    <n v="1107.45"/>
    <x v="1"/>
    <n v="0.28999999999999998"/>
    <x v="0"/>
    <x v="1"/>
    <s v="East-Charlie"/>
    <x v="1"/>
    <x v="0"/>
    <x v="211"/>
    <x v="211"/>
    <x v="211"/>
  </r>
  <r>
    <n v="1052"/>
    <x v="106"/>
    <x v="1"/>
    <x v="0"/>
    <x v="212"/>
    <x v="47"/>
    <x v="0"/>
    <n v="745.71"/>
    <n v="856.91"/>
    <x v="0"/>
    <n v="0.23"/>
    <x v="1"/>
    <x v="1"/>
    <s v="North-David"/>
    <x v="1"/>
    <x v="0"/>
    <x v="212"/>
    <x v="212"/>
    <x v="212"/>
  </r>
  <r>
    <n v="1062"/>
    <x v="94"/>
    <x v="3"/>
    <x v="2"/>
    <x v="213"/>
    <x v="14"/>
    <x v="3"/>
    <n v="1468.05"/>
    <n v="1838.21"/>
    <x v="1"/>
    <n v="0.15"/>
    <x v="1"/>
    <x v="1"/>
    <s v="South-Eve"/>
    <x v="8"/>
    <x v="5"/>
    <x v="213"/>
    <x v="213"/>
    <x v="213"/>
  </r>
  <r>
    <n v="1058"/>
    <x v="151"/>
    <x v="3"/>
    <x v="1"/>
    <x v="214"/>
    <x v="10"/>
    <x v="2"/>
    <n v="2614.48"/>
    <n v="3049.04"/>
    <x v="1"/>
    <n v="0.1"/>
    <x v="2"/>
    <x v="1"/>
    <s v="West-Eve"/>
    <x v="6"/>
    <x v="3"/>
    <x v="214"/>
    <x v="214"/>
    <x v="214"/>
  </r>
  <r>
    <n v="1052"/>
    <x v="64"/>
    <x v="2"/>
    <x v="1"/>
    <x v="215"/>
    <x v="39"/>
    <x v="0"/>
    <n v="3752.68"/>
    <n v="4017.91"/>
    <x v="0"/>
    <n v="0.16"/>
    <x v="1"/>
    <x v="0"/>
    <s v="West-Charlie"/>
    <x v="9"/>
    <x v="0"/>
    <x v="215"/>
    <x v="215"/>
    <x v="215"/>
  </r>
  <r>
    <n v="1012"/>
    <x v="50"/>
    <x v="0"/>
    <x v="0"/>
    <x v="216"/>
    <x v="21"/>
    <x v="1"/>
    <n v="4190.83"/>
    <n v="4528.7699999999904"/>
    <x v="0"/>
    <n v="0.22"/>
    <x v="1"/>
    <x v="0"/>
    <s v="North-Bob"/>
    <x v="8"/>
    <x v="4"/>
    <x v="216"/>
    <x v="216"/>
    <x v="216"/>
  </r>
  <r>
    <n v="1039"/>
    <x v="48"/>
    <x v="3"/>
    <x v="1"/>
    <x v="217"/>
    <x v="11"/>
    <x v="0"/>
    <n v="3536.46"/>
    <n v="3945.82"/>
    <x v="1"/>
    <n v="0.24"/>
    <x v="1"/>
    <x v="0"/>
    <s v="West-Eve"/>
    <x v="10"/>
    <x v="2"/>
    <x v="217"/>
    <x v="217"/>
    <x v="217"/>
  </r>
  <r>
    <n v="1002"/>
    <x v="62"/>
    <x v="1"/>
    <x v="0"/>
    <x v="218"/>
    <x v="2"/>
    <x v="2"/>
    <n v="4646.55"/>
    <n v="4784.28"/>
    <x v="0"/>
    <n v="0.1"/>
    <x v="2"/>
    <x v="1"/>
    <s v="North-David"/>
    <x v="7"/>
    <x v="0"/>
    <x v="218"/>
    <x v="218"/>
    <x v="218"/>
  </r>
  <r>
    <n v="1003"/>
    <x v="90"/>
    <x v="3"/>
    <x v="3"/>
    <x v="219"/>
    <x v="23"/>
    <x v="1"/>
    <n v="3706.78"/>
    <n v="3862.26"/>
    <x v="1"/>
    <n v="0.22"/>
    <x v="2"/>
    <x v="1"/>
    <s v="East-Eve"/>
    <x v="8"/>
    <x v="0"/>
    <x v="219"/>
    <x v="219"/>
    <x v="219"/>
  </r>
  <r>
    <n v="1056"/>
    <x v="152"/>
    <x v="1"/>
    <x v="3"/>
    <x v="220"/>
    <x v="40"/>
    <x v="2"/>
    <n v="1566.03"/>
    <n v="1576.34"/>
    <x v="0"/>
    <n v="0.2"/>
    <x v="1"/>
    <x v="0"/>
    <s v="East-David"/>
    <x v="10"/>
    <x v="5"/>
    <x v="220"/>
    <x v="220"/>
    <x v="220"/>
  </r>
  <r>
    <n v="1081"/>
    <x v="153"/>
    <x v="2"/>
    <x v="1"/>
    <x v="221"/>
    <x v="16"/>
    <x v="3"/>
    <n v="1362.15"/>
    <n v="1844.07"/>
    <x v="1"/>
    <n v="0.28999999999999998"/>
    <x v="2"/>
    <x v="0"/>
    <s v="West-Charlie"/>
    <x v="1"/>
    <x v="5"/>
    <x v="221"/>
    <x v="221"/>
    <x v="221"/>
  </r>
  <r>
    <n v="1059"/>
    <x v="154"/>
    <x v="3"/>
    <x v="1"/>
    <x v="222"/>
    <x v="26"/>
    <x v="1"/>
    <n v="3496.15"/>
    <n v="3955.75"/>
    <x v="0"/>
    <n v="0.28000000000000003"/>
    <x v="0"/>
    <x v="1"/>
    <s v="West-Eve"/>
    <x v="1"/>
    <x v="5"/>
    <x v="222"/>
    <x v="222"/>
    <x v="222"/>
  </r>
  <r>
    <n v="1002"/>
    <x v="155"/>
    <x v="1"/>
    <x v="2"/>
    <x v="223"/>
    <x v="3"/>
    <x v="2"/>
    <n v="1004.71"/>
    <n v="1389.35"/>
    <x v="1"/>
    <n v="0.24"/>
    <x v="1"/>
    <x v="0"/>
    <s v="South-David"/>
    <x v="7"/>
    <x v="2"/>
    <x v="223"/>
    <x v="223"/>
    <x v="223"/>
  </r>
  <r>
    <n v="1002"/>
    <x v="156"/>
    <x v="2"/>
    <x v="1"/>
    <x v="224"/>
    <x v="42"/>
    <x v="1"/>
    <n v="508.94"/>
    <n v="557.69000000000005"/>
    <x v="1"/>
    <n v="0.22"/>
    <x v="2"/>
    <x v="1"/>
    <s v="West-Charlie"/>
    <x v="0"/>
    <x v="4"/>
    <x v="224"/>
    <x v="224"/>
    <x v="224"/>
  </r>
  <r>
    <n v="1092"/>
    <x v="157"/>
    <x v="0"/>
    <x v="2"/>
    <x v="225"/>
    <x v="4"/>
    <x v="2"/>
    <n v="2684.5"/>
    <n v="2913.78"/>
    <x v="1"/>
    <n v="0.08"/>
    <x v="2"/>
    <x v="1"/>
    <s v="South-Bob"/>
    <x v="5"/>
    <x v="5"/>
    <x v="225"/>
    <x v="225"/>
    <x v="225"/>
  </r>
  <r>
    <n v="1054"/>
    <x v="87"/>
    <x v="1"/>
    <x v="3"/>
    <x v="226"/>
    <x v="29"/>
    <x v="1"/>
    <n v="4117.13"/>
    <n v="4177.0600000000004"/>
    <x v="0"/>
    <n v="0.25"/>
    <x v="1"/>
    <x v="1"/>
    <s v="East-David"/>
    <x v="7"/>
    <x v="4"/>
    <x v="226"/>
    <x v="226"/>
    <x v="226"/>
  </r>
  <r>
    <n v="1087"/>
    <x v="158"/>
    <x v="0"/>
    <x v="3"/>
    <x v="227"/>
    <x v="40"/>
    <x v="2"/>
    <n v="551.83000000000004"/>
    <n v="569.63"/>
    <x v="1"/>
    <n v="0.13"/>
    <x v="2"/>
    <x v="1"/>
    <s v="East-Bob"/>
    <x v="7"/>
    <x v="3"/>
    <x v="227"/>
    <x v="227"/>
    <x v="227"/>
  </r>
  <r>
    <n v="1096"/>
    <x v="159"/>
    <x v="0"/>
    <x v="0"/>
    <x v="228"/>
    <x v="2"/>
    <x v="3"/>
    <n v="3969.86"/>
    <n v="4281.79"/>
    <x v="0"/>
    <n v="0.08"/>
    <x v="1"/>
    <x v="1"/>
    <s v="North-Bob"/>
    <x v="3"/>
    <x v="6"/>
    <x v="228"/>
    <x v="228"/>
    <x v="228"/>
  </r>
  <r>
    <n v="1097"/>
    <x v="91"/>
    <x v="4"/>
    <x v="3"/>
    <x v="229"/>
    <x v="14"/>
    <x v="1"/>
    <n v="4067.28"/>
    <n v="4548.09"/>
    <x v="0"/>
    <n v="0.12"/>
    <x v="2"/>
    <x v="1"/>
    <s v="East-Alice"/>
    <x v="2"/>
    <x v="5"/>
    <x v="229"/>
    <x v="229"/>
    <x v="229"/>
  </r>
  <r>
    <n v="1001"/>
    <x v="160"/>
    <x v="3"/>
    <x v="2"/>
    <x v="230"/>
    <x v="3"/>
    <x v="1"/>
    <n v="2437.2600000000002"/>
    <n v="2889.67"/>
    <x v="0"/>
    <n v="0.25"/>
    <x v="0"/>
    <x v="0"/>
    <s v="South-Eve"/>
    <x v="2"/>
    <x v="1"/>
    <x v="230"/>
    <x v="230"/>
    <x v="230"/>
  </r>
  <r>
    <n v="1019"/>
    <x v="146"/>
    <x v="1"/>
    <x v="1"/>
    <x v="231"/>
    <x v="17"/>
    <x v="1"/>
    <n v="333.69"/>
    <n v="685.1"/>
    <x v="1"/>
    <n v="0.04"/>
    <x v="1"/>
    <x v="0"/>
    <s v="West-David"/>
    <x v="7"/>
    <x v="5"/>
    <x v="231"/>
    <x v="231"/>
    <x v="231"/>
  </r>
  <r>
    <n v="1002"/>
    <x v="6"/>
    <x v="0"/>
    <x v="0"/>
    <x v="232"/>
    <x v="9"/>
    <x v="1"/>
    <n v="914.22"/>
    <n v="971.57"/>
    <x v="0"/>
    <n v="0.14000000000000001"/>
    <x v="0"/>
    <x v="0"/>
    <s v="North-Bob"/>
    <x v="1"/>
    <x v="3"/>
    <x v="232"/>
    <x v="232"/>
    <x v="232"/>
  </r>
  <r>
    <n v="1053"/>
    <x v="145"/>
    <x v="4"/>
    <x v="2"/>
    <x v="233"/>
    <x v="20"/>
    <x v="3"/>
    <n v="3551.76"/>
    <n v="3696.1"/>
    <x v="0"/>
    <n v="0.15"/>
    <x v="1"/>
    <x v="1"/>
    <s v="South-Alice"/>
    <x v="9"/>
    <x v="3"/>
    <x v="233"/>
    <x v="233"/>
    <x v="233"/>
  </r>
  <r>
    <n v="1044"/>
    <x v="161"/>
    <x v="2"/>
    <x v="1"/>
    <x v="234"/>
    <x v="24"/>
    <x v="1"/>
    <n v="3573.3"/>
    <n v="3740.13"/>
    <x v="0"/>
    <n v="0.01"/>
    <x v="2"/>
    <x v="0"/>
    <s v="West-Charlie"/>
    <x v="1"/>
    <x v="1"/>
    <x v="234"/>
    <x v="234"/>
    <x v="234"/>
  </r>
  <r>
    <n v="1090"/>
    <x v="162"/>
    <x v="1"/>
    <x v="0"/>
    <x v="235"/>
    <x v="17"/>
    <x v="0"/>
    <n v="4496.8599999999997"/>
    <n v="4880.7999999999902"/>
    <x v="1"/>
    <n v="0.06"/>
    <x v="0"/>
    <x v="1"/>
    <s v="North-David"/>
    <x v="11"/>
    <x v="2"/>
    <x v="235"/>
    <x v="235"/>
    <x v="235"/>
  </r>
  <r>
    <n v="1032"/>
    <x v="163"/>
    <x v="0"/>
    <x v="3"/>
    <x v="236"/>
    <x v="44"/>
    <x v="3"/>
    <n v="2934.3"/>
    <n v="3337.4"/>
    <x v="0"/>
    <n v="0.25"/>
    <x v="2"/>
    <x v="1"/>
    <s v="East-Bob"/>
    <x v="8"/>
    <x v="1"/>
    <x v="236"/>
    <x v="236"/>
    <x v="236"/>
  </r>
  <r>
    <n v="1070"/>
    <x v="58"/>
    <x v="3"/>
    <x v="2"/>
    <x v="237"/>
    <x v="26"/>
    <x v="0"/>
    <n v="664.33"/>
    <n v="863.03"/>
    <x v="0"/>
    <n v="0.25"/>
    <x v="1"/>
    <x v="1"/>
    <s v="South-Eve"/>
    <x v="5"/>
    <x v="5"/>
    <x v="237"/>
    <x v="237"/>
    <x v="237"/>
  </r>
  <r>
    <n v="1032"/>
    <x v="78"/>
    <x v="4"/>
    <x v="1"/>
    <x v="238"/>
    <x v="21"/>
    <x v="1"/>
    <n v="651"/>
    <n v="865.76"/>
    <x v="0"/>
    <n v="0.09"/>
    <x v="1"/>
    <x v="1"/>
    <s v="West-Alice"/>
    <x v="8"/>
    <x v="6"/>
    <x v="238"/>
    <x v="238"/>
    <x v="238"/>
  </r>
  <r>
    <n v="1068"/>
    <x v="164"/>
    <x v="0"/>
    <x v="0"/>
    <x v="239"/>
    <x v="33"/>
    <x v="2"/>
    <n v="3619.61"/>
    <n v="3651.42"/>
    <x v="0"/>
    <n v="0.26"/>
    <x v="1"/>
    <x v="0"/>
    <s v="North-Bob"/>
    <x v="0"/>
    <x v="0"/>
    <x v="239"/>
    <x v="239"/>
    <x v="239"/>
  </r>
  <r>
    <n v="1055"/>
    <x v="165"/>
    <x v="3"/>
    <x v="0"/>
    <x v="240"/>
    <x v="11"/>
    <x v="0"/>
    <n v="959.73"/>
    <n v="1111.4100000000001"/>
    <x v="1"/>
    <n v="0.23"/>
    <x v="1"/>
    <x v="0"/>
    <s v="North-Eve"/>
    <x v="10"/>
    <x v="4"/>
    <x v="240"/>
    <x v="240"/>
    <x v="240"/>
  </r>
  <r>
    <n v="1075"/>
    <x v="117"/>
    <x v="0"/>
    <x v="3"/>
    <x v="241"/>
    <x v="35"/>
    <x v="1"/>
    <n v="1675.51"/>
    <n v="1906.6399999999901"/>
    <x v="1"/>
    <n v="0.13"/>
    <x v="1"/>
    <x v="0"/>
    <s v="East-Bob"/>
    <x v="8"/>
    <x v="5"/>
    <x v="241"/>
    <x v="241"/>
    <x v="241"/>
  </r>
  <r>
    <n v="1056"/>
    <x v="28"/>
    <x v="1"/>
    <x v="1"/>
    <x v="242"/>
    <x v="20"/>
    <x v="0"/>
    <n v="2461.6999999999998"/>
    <n v="2529.02"/>
    <x v="0"/>
    <n v="0.22"/>
    <x v="0"/>
    <x v="1"/>
    <s v="West-David"/>
    <x v="10"/>
    <x v="6"/>
    <x v="242"/>
    <x v="242"/>
    <x v="242"/>
  </r>
  <r>
    <n v="1017"/>
    <x v="166"/>
    <x v="1"/>
    <x v="3"/>
    <x v="243"/>
    <x v="21"/>
    <x v="1"/>
    <n v="172.59"/>
    <n v="404.69"/>
    <x v="0"/>
    <n v="0.28999999999999998"/>
    <x v="1"/>
    <x v="0"/>
    <s v="East-David"/>
    <x v="11"/>
    <x v="0"/>
    <x v="243"/>
    <x v="243"/>
    <x v="243"/>
  </r>
  <r>
    <n v="1038"/>
    <x v="163"/>
    <x v="1"/>
    <x v="3"/>
    <x v="244"/>
    <x v="21"/>
    <x v="1"/>
    <n v="1281.6500000000001"/>
    <n v="1709.71"/>
    <x v="0"/>
    <n v="0.14000000000000001"/>
    <x v="2"/>
    <x v="0"/>
    <s v="East-David"/>
    <x v="8"/>
    <x v="1"/>
    <x v="244"/>
    <x v="244"/>
    <x v="244"/>
  </r>
  <r>
    <n v="1024"/>
    <x v="167"/>
    <x v="4"/>
    <x v="1"/>
    <x v="245"/>
    <x v="31"/>
    <x v="1"/>
    <n v="2069.0500000000002"/>
    <n v="2363.9"/>
    <x v="0"/>
    <n v="7.0000000000000007E-2"/>
    <x v="0"/>
    <x v="0"/>
    <s v="West-Alice"/>
    <x v="1"/>
    <x v="1"/>
    <x v="245"/>
    <x v="245"/>
    <x v="245"/>
  </r>
  <r>
    <n v="1069"/>
    <x v="168"/>
    <x v="1"/>
    <x v="1"/>
    <x v="246"/>
    <x v="31"/>
    <x v="2"/>
    <n v="1434.2"/>
    <n v="1482.88"/>
    <x v="1"/>
    <n v="0.28000000000000003"/>
    <x v="2"/>
    <x v="1"/>
    <s v="West-David"/>
    <x v="6"/>
    <x v="2"/>
    <x v="246"/>
    <x v="246"/>
    <x v="246"/>
  </r>
  <r>
    <n v="1098"/>
    <x v="96"/>
    <x v="3"/>
    <x v="1"/>
    <x v="247"/>
    <x v="9"/>
    <x v="0"/>
    <n v="725.03"/>
    <n v="828.94999999999902"/>
    <x v="1"/>
    <n v="0.18"/>
    <x v="1"/>
    <x v="0"/>
    <s v="West-Eve"/>
    <x v="7"/>
    <x v="6"/>
    <x v="247"/>
    <x v="247"/>
    <x v="247"/>
  </r>
  <r>
    <n v="1070"/>
    <x v="113"/>
    <x v="0"/>
    <x v="2"/>
    <x v="248"/>
    <x v="13"/>
    <x v="3"/>
    <n v="3653.66"/>
    <n v="3896.19"/>
    <x v="1"/>
    <n v="0.03"/>
    <x v="2"/>
    <x v="1"/>
    <s v="South-Bob"/>
    <x v="4"/>
    <x v="2"/>
    <x v="248"/>
    <x v="248"/>
    <x v="248"/>
  </r>
  <r>
    <n v="1086"/>
    <x v="169"/>
    <x v="2"/>
    <x v="1"/>
    <x v="249"/>
    <x v="1"/>
    <x v="3"/>
    <n v="4075.08"/>
    <n v="4262.21"/>
    <x v="1"/>
    <n v="0.17"/>
    <x v="0"/>
    <x v="0"/>
    <s v="West-Charlie"/>
    <x v="2"/>
    <x v="0"/>
    <x v="249"/>
    <x v="249"/>
    <x v="249"/>
  </r>
  <r>
    <n v="1011"/>
    <x v="170"/>
    <x v="3"/>
    <x v="0"/>
    <x v="250"/>
    <x v="33"/>
    <x v="3"/>
    <n v="1324.52"/>
    <n v="1510.3"/>
    <x v="0"/>
    <n v="0.15"/>
    <x v="0"/>
    <x v="1"/>
    <s v="North-Eve"/>
    <x v="5"/>
    <x v="6"/>
    <x v="250"/>
    <x v="250"/>
    <x v="250"/>
  </r>
  <r>
    <n v="1016"/>
    <x v="59"/>
    <x v="3"/>
    <x v="3"/>
    <x v="251"/>
    <x v="34"/>
    <x v="3"/>
    <n v="3883.38"/>
    <n v="4152.72"/>
    <x v="0"/>
    <n v="0.26"/>
    <x v="0"/>
    <x v="0"/>
    <s v="East-Eve"/>
    <x v="4"/>
    <x v="0"/>
    <x v="251"/>
    <x v="251"/>
    <x v="251"/>
  </r>
  <r>
    <n v="1097"/>
    <x v="37"/>
    <x v="1"/>
    <x v="2"/>
    <x v="252"/>
    <x v="22"/>
    <x v="1"/>
    <n v="1958.49"/>
    <n v="2254.84"/>
    <x v="1"/>
    <n v="0.16"/>
    <x v="2"/>
    <x v="0"/>
    <s v="South-David"/>
    <x v="4"/>
    <x v="1"/>
    <x v="252"/>
    <x v="252"/>
    <x v="252"/>
  </r>
  <r>
    <n v="1073"/>
    <x v="129"/>
    <x v="4"/>
    <x v="1"/>
    <x v="253"/>
    <x v="27"/>
    <x v="0"/>
    <n v="2558.09"/>
    <n v="2958.55"/>
    <x v="1"/>
    <n v="0.08"/>
    <x v="0"/>
    <x v="0"/>
    <s v="West-Alice"/>
    <x v="7"/>
    <x v="2"/>
    <x v="253"/>
    <x v="253"/>
    <x v="253"/>
  </r>
  <r>
    <n v="1059"/>
    <x v="150"/>
    <x v="0"/>
    <x v="2"/>
    <x v="254"/>
    <x v="25"/>
    <x v="0"/>
    <n v="4287.21"/>
    <n v="4464.28"/>
    <x v="0"/>
    <n v="0.2"/>
    <x v="2"/>
    <x v="1"/>
    <s v="South-Bob"/>
    <x v="11"/>
    <x v="2"/>
    <x v="254"/>
    <x v="254"/>
    <x v="254"/>
  </r>
  <r>
    <n v="1070"/>
    <x v="171"/>
    <x v="4"/>
    <x v="1"/>
    <x v="255"/>
    <x v="29"/>
    <x v="2"/>
    <n v="3762.27"/>
    <n v="4166.95"/>
    <x v="0"/>
    <n v="0.16"/>
    <x v="1"/>
    <x v="0"/>
    <s v="West-Alice"/>
    <x v="9"/>
    <x v="6"/>
    <x v="255"/>
    <x v="255"/>
    <x v="255"/>
  </r>
  <r>
    <n v="1080"/>
    <x v="172"/>
    <x v="0"/>
    <x v="2"/>
    <x v="256"/>
    <x v="20"/>
    <x v="0"/>
    <n v="4035.33"/>
    <n v="4211.25"/>
    <x v="0"/>
    <n v="7.0000000000000007E-2"/>
    <x v="1"/>
    <x v="0"/>
    <s v="South-Bob"/>
    <x v="5"/>
    <x v="3"/>
    <x v="256"/>
    <x v="256"/>
    <x v="256"/>
  </r>
  <r>
    <n v="1093"/>
    <x v="173"/>
    <x v="0"/>
    <x v="3"/>
    <x v="257"/>
    <x v="1"/>
    <x v="0"/>
    <n v="727.38"/>
    <n v="764.54"/>
    <x v="0"/>
    <n v="0.17"/>
    <x v="2"/>
    <x v="1"/>
    <s v="East-Bob"/>
    <x v="10"/>
    <x v="4"/>
    <x v="257"/>
    <x v="257"/>
    <x v="257"/>
  </r>
  <r>
    <n v="1003"/>
    <x v="174"/>
    <x v="4"/>
    <x v="3"/>
    <x v="258"/>
    <x v="1"/>
    <x v="0"/>
    <n v="395.11"/>
    <n v="676.66"/>
    <x v="0"/>
    <n v="0.25"/>
    <x v="0"/>
    <x v="1"/>
    <s v="East-Alice"/>
    <x v="9"/>
    <x v="2"/>
    <x v="258"/>
    <x v="258"/>
    <x v="258"/>
  </r>
  <r>
    <n v="1020"/>
    <x v="175"/>
    <x v="3"/>
    <x v="0"/>
    <x v="259"/>
    <x v="42"/>
    <x v="2"/>
    <n v="4472.3500000000004"/>
    <n v="4770.42"/>
    <x v="1"/>
    <n v="0.01"/>
    <x v="2"/>
    <x v="1"/>
    <s v="North-Eve"/>
    <x v="2"/>
    <x v="0"/>
    <x v="259"/>
    <x v="259"/>
    <x v="259"/>
  </r>
  <r>
    <n v="1059"/>
    <x v="109"/>
    <x v="0"/>
    <x v="0"/>
    <x v="260"/>
    <x v="4"/>
    <x v="3"/>
    <n v="1969.78"/>
    <n v="2437.6999999999998"/>
    <x v="1"/>
    <n v="0.19"/>
    <x v="2"/>
    <x v="1"/>
    <s v="North-Bob"/>
    <x v="6"/>
    <x v="6"/>
    <x v="260"/>
    <x v="260"/>
    <x v="260"/>
  </r>
  <r>
    <n v="1036"/>
    <x v="162"/>
    <x v="4"/>
    <x v="1"/>
    <x v="261"/>
    <x v="1"/>
    <x v="0"/>
    <n v="1475"/>
    <n v="1840.77"/>
    <x v="0"/>
    <n v="0.1"/>
    <x v="2"/>
    <x v="0"/>
    <s v="West-Alice"/>
    <x v="11"/>
    <x v="2"/>
    <x v="261"/>
    <x v="261"/>
    <x v="261"/>
  </r>
  <r>
    <n v="1019"/>
    <x v="26"/>
    <x v="0"/>
    <x v="3"/>
    <x v="262"/>
    <x v="34"/>
    <x v="2"/>
    <n v="3637.25"/>
    <n v="4096.96"/>
    <x v="0"/>
    <n v="0.09"/>
    <x v="1"/>
    <x v="0"/>
    <s v="East-Bob"/>
    <x v="6"/>
    <x v="1"/>
    <x v="262"/>
    <x v="262"/>
    <x v="262"/>
  </r>
  <r>
    <n v="1090"/>
    <x v="170"/>
    <x v="2"/>
    <x v="2"/>
    <x v="263"/>
    <x v="1"/>
    <x v="2"/>
    <n v="4190.26"/>
    <n v="4645.3500000000004"/>
    <x v="1"/>
    <n v="0.12"/>
    <x v="2"/>
    <x v="1"/>
    <s v="South-Charlie"/>
    <x v="5"/>
    <x v="6"/>
    <x v="263"/>
    <x v="263"/>
    <x v="263"/>
  </r>
  <r>
    <n v="1067"/>
    <x v="8"/>
    <x v="3"/>
    <x v="2"/>
    <x v="264"/>
    <x v="10"/>
    <x v="1"/>
    <n v="4319.32"/>
    <n v="4625.5599999999904"/>
    <x v="0"/>
    <n v="0.1"/>
    <x v="1"/>
    <x v="0"/>
    <s v="South-Eve"/>
    <x v="6"/>
    <x v="1"/>
    <x v="264"/>
    <x v="264"/>
    <x v="264"/>
  </r>
  <r>
    <n v="1019"/>
    <x v="18"/>
    <x v="1"/>
    <x v="2"/>
    <x v="265"/>
    <x v="28"/>
    <x v="2"/>
    <n v="1614.19"/>
    <n v="1882.79"/>
    <x v="1"/>
    <n v="0.25"/>
    <x v="2"/>
    <x v="1"/>
    <s v="South-David"/>
    <x v="11"/>
    <x v="4"/>
    <x v="265"/>
    <x v="265"/>
    <x v="265"/>
  </r>
  <r>
    <n v="1020"/>
    <x v="176"/>
    <x v="0"/>
    <x v="0"/>
    <x v="266"/>
    <x v="27"/>
    <x v="3"/>
    <n v="4268.45"/>
    <n v="4551.5999999999904"/>
    <x v="1"/>
    <n v="0.08"/>
    <x v="1"/>
    <x v="0"/>
    <s v="North-Bob"/>
    <x v="9"/>
    <x v="5"/>
    <x v="266"/>
    <x v="266"/>
    <x v="266"/>
  </r>
  <r>
    <n v="1096"/>
    <x v="67"/>
    <x v="2"/>
    <x v="2"/>
    <x v="267"/>
    <x v="32"/>
    <x v="0"/>
    <n v="252.62"/>
    <n v="742"/>
    <x v="1"/>
    <n v="0.22"/>
    <x v="2"/>
    <x v="1"/>
    <s v="South-Charlie"/>
    <x v="6"/>
    <x v="2"/>
    <x v="267"/>
    <x v="267"/>
    <x v="267"/>
  </r>
  <r>
    <n v="1071"/>
    <x v="177"/>
    <x v="1"/>
    <x v="0"/>
    <x v="268"/>
    <x v="22"/>
    <x v="2"/>
    <n v="295.82"/>
    <n v="684.67"/>
    <x v="1"/>
    <n v="0.03"/>
    <x v="2"/>
    <x v="0"/>
    <s v="North-David"/>
    <x v="6"/>
    <x v="4"/>
    <x v="268"/>
    <x v="268"/>
    <x v="268"/>
  </r>
  <r>
    <n v="1052"/>
    <x v="178"/>
    <x v="1"/>
    <x v="0"/>
    <x v="269"/>
    <x v="7"/>
    <x v="3"/>
    <n v="3136.42"/>
    <n v="3198.49"/>
    <x v="0"/>
    <n v="0.28999999999999998"/>
    <x v="0"/>
    <x v="1"/>
    <s v="North-David"/>
    <x v="7"/>
    <x v="1"/>
    <x v="269"/>
    <x v="269"/>
    <x v="269"/>
  </r>
  <r>
    <n v="1033"/>
    <x v="113"/>
    <x v="0"/>
    <x v="1"/>
    <x v="270"/>
    <x v="28"/>
    <x v="2"/>
    <n v="362.38"/>
    <n v="753.81"/>
    <x v="0"/>
    <n v="0.19"/>
    <x v="0"/>
    <x v="1"/>
    <s v="West-Bob"/>
    <x v="4"/>
    <x v="2"/>
    <x v="270"/>
    <x v="270"/>
    <x v="270"/>
  </r>
  <r>
    <n v="1040"/>
    <x v="16"/>
    <x v="4"/>
    <x v="2"/>
    <x v="271"/>
    <x v="20"/>
    <x v="2"/>
    <n v="1656.82"/>
    <n v="1750.3799999999901"/>
    <x v="1"/>
    <n v="0.21"/>
    <x v="2"/>
    <x v="0"/>
    <s v="South-Alice"/>
    <x v="10"/>
    <x v="3"/>
    <x v="271"/>
    <x v="271"/>
    <x v="271"/>
  </r>
  <r>
    <n v="1039"/>
    <x v="168"/>
    <x v="0"/>
    <x v="2"/>
    <x v="272"/>
    <x v="29"/>
    <x v="2"/>
    <n v="3380.14"/>
    <n v="3609.3399999999901"/>
    <x v="0"/>
    <n v="0.09"/>
    <x v="2"/>
    <x v="0"/>
    <s v="South-Bob"/>
    <x v="6"/>
    <x v="2"/>
    <x v="272"/>
    <x v="272"/>
    <x v="272"/>
  </r>
  <r>
    <n v="1082"/>
    <x v="179"/>
    <x v="2"/>
    <x v="3"/>
    <x v="273"/>
    <x v="13"/>
    <x v="2"/>
    <n v="1719.47"/>
    <n v="1832.6"/>
    <x v="0"/>
    <n v="0.12"/>
    <x v="2"/>
    <x v="0"/>
    <s v="East-Charlie"/>
    <x v="6"/>
    <x v="4"/>
    <x v="273"/>
    <x v="273"/>
    <x v="273"/>
  </r>
  <r>
    <n v="1001"/>
    <x v="180"/>
    <x v="1"/>
    <x v="1"/>
    <x v="274"/>
    <x v="30"/>
    <x v="2"/>
    <n v="939.02"/>
    <n v="1286.92"/>
    <x v="0"/>
    <n v="7.0000000000000007E-2"/>
    <x v="2"/>
    <x v="1"/>
    <s v="West-David"/>
    <x v="0"/>
    <x v="2"/>
    <x v="274"/>
    <x v="274"/>
    <x v="274"/>
  </r>
  <r>
    <n v="1011"/>
    <x v="181"/>
    <x v="0"/>
    <x v="3"/>
    <x v="275"/>
    <x v="4"/>
    <x v="3"/>
    <n v="1442.69"/>
    <n v="1882.57"/>
    <x v="0"/>
    <n v="0.28000000000000003"/>
    <x v="0"/>
    <x v="0"/>
    <s v="East-Bob"/>
    <x v="9"/>
    <x v="5"/>
    <x v="275"/>
    <x v="275"/>
    <x v="275"/>
  </r>
  <r>
    <n v="1092"/>
    <x v="76"/>
    <x v="4"/>
    <x v="1"/>
    <x v="276"/>
    <x v="37"/>
    <x v="0"/>
    <n v="2315"/>
    <n v="2467.2800000000002"/>
    <x v="1"/>
    <n v="0.15"/>
    <x v="1"/>
    <x v="1"/>
    <s v="West-Alice"/>
    <x v="4"/>
    <x v="2"/>
    <x v="276"/>
    <x v="276"/>
    <x v="276"/>
  </r>
  <r>
    <n v="1057"/>
    <x v="92"/>
    <x v="0"/>
    <x v="2"/>
    <x v="277"/>
    <x v="17"/>
    <x v="0"/>
    <n v="2403.16"/>
    <n v="2453.35"/>
    <x v="0"/>
    <n v="0.19"/>
    <x v="2"/>
    <x v="0"/>
    <s v="South-Bob"/>
    <x v="9"/>
    <x v="6"/>
    <x v="277"/>
    <x v="277"/>
    <x v="277"/>
  </r>
  <r>
    <n v="1089"/>
    <x v="177"/>
    <x v="3"/>
    <x v="0"/>
    <x v="278"/>
    <x v="22"/>
    <x v="0"/>
    <n v="3925.85"/>
    <n v="4082.1099999999901"/>
    <x v="1"/>
    <n v="0.22"/>
    <x v="0"/>
    <x v="0"/>
    <s v="North-Eve"/>
    <x v="6"/>
    <x v="4"/>
    <x v="278"/>
    <x v="278"/>
    <x v="278"/>
  </r>
  <r>
    <n v="1050"/>
    <x v="141"/>
    <x v="4"/>
    <x v="0"/>
    <x v="279"/>
    <x v="32"/>
    <x v="0"/>
    <n v="3763.26"/>
    <n v="4102.72"/>
    <x v="1"/>
    <n v="0.11"/>
    <x v="2"/>
    <x v="1"/>
    <s v="North-Alice"/>
    <x v="10"/>
    <x v="5"/>
    <x v="279"/>
    <x v="279"/>
    <x v="279"/>
  </r>
  <r>
    <n v="1023"/>
    <x v="40"/>
    <x v="2"/>
    <x v="0"/>
    <x v="280"/>
    <x v="47"/>
    <x v="3"/>
    <n v="2311.25"/>
    <n v="2482.34"/>
    <x v="0"/>
    <n v="0.22"/>
    <x v="2"/>
    <x v="1"/>
    <s v="North-Charlie"/>
    <x v="1"/>
    <x v="0"/>
    <x v="280"/>
    <x v="280"/>
    <x v="280"/>
  </r>
  <r>
    <n v="1031"/>
    <x v="182"/>
    <x v="1"/>
    <x v="0"/>
    <x v="281"/>
    <x v="33"/>
    <x v="1"/>
    <n v="4236.05"/>
    <n v="4382.32"/>
    <x v="1"/>
    <n v="0.2"/>
    <x v="1"/>
    <x v="0"/>
    <s v="North-David"/>
    <x v="9"/>
    <x v="0"/>
    <x v="281"/>
    <x v="281"/>
    <x v="281"/>
  </r>
  <r>
    <n v="1094"/>
    <x v="113"/>
    <x v="0"/>
    <x v="0"/>
    <x v="282"/>
    <x v="37"/>
    <x v="1"/>
    <n v="615.47"/>
    <n v="715.84"/>
    <x v="0"/>
    <n v="0.21"/>
    <x v="2"/>
    <x v="1"/>
    <s v="North-Bob"/>
    <x v="4"/>
    <x v="2"/>
    <x v="282"/>
    <x v="282"/>
    <x v="282"/>
  </r>
  <r>
    <n v="1042"/>
    <x v="183"/>
    <x v="4"/>
    <x v="3"/>
    <x v="283"/>
    <x v="18"/>
    <x v="3"/>
    <n v="1314"/>
    <n v="1567.78"/>
    <x v="0"/>
    <n v="0.15"/>
    <x v="2"/>
    <x v="1"/>
    <s v="East-Alice"/>
    <x v="11"/>
    <x v="2"/>
    <x v="283"/>
    <x v="283"/>
    <x v="283"/>
  </r>
  <r>
    <n v="1099"/>
    <x v="143"/>
    <x v="3"/>
    <x v="1"/>
    <x v="284"/>
    <x v="44"/>
    <x v="3"/>
    <n v="4148.4799999999996"/>
    <n v="4293.6899999999996"/>
    <x v="1"/>
    <n v="0.11"/>
    <x v="1"/>
    <x v="0"/>
    <s v="West-Eve"/>
    <x v="9"/>
    <x v="3"/>
    <x v="284"/>
    <x v="284"/>
    <x v="284"/>
  </r>
  <r>
    <n v="1007"/>
    <x v="180"/>
    <x v="4"/>
    <x v="2"/>
    <x v="285"/>
    <x v="24"/>
    <x v="2"/>
    <n v="1921.07"/>
    <n v="2289.27"/>
    <x v="0"/>
    <n v="7.0000000000000007E-2"/>
    <x v="1"/>
    <x v="1"/>
    <s v="South-Alice"/>
    <x v="0"/>
    <x v="2"/>
    <x v="285"/>
    <x v="285"/>
    <x v="285"/>
  </r>
  <r>
    <n v="1016"/>
    <x v="184"/>
    <x v="3"/>
    <x v="3"/>
    <x v="286"/>
    <x v="42"/>
    <x v="2"/>
    <n v="4906.8500000000004"/>
    <n v="4954.3900000000003"/>
    <x v="1"/>
    <n v="0.25"/>
    <x v="1"/>
    <x v="0"/>
    <s v="East-Eve"/>
    <x v="8"/>
    <x v="1"/>
    <x v="286"/>
    <x v="286"/>
    <x v="286"/>
  </r>
  <r>
    <n v="1090"/>
    <x v="160"/>
    <x v="2"/>
    <x v="1"/>
    <x v="287"/>
    <x v="20"/>
    <x v="2"/>
    <n v="2357.9499999999998"/>
    <n v="2693.33"/>
    <x v="1"/>
    <n v="0.18"/>
    <x v="1"/>
    <x v="0"/>
    <s v="West-Charlie"/>
    <x v="2"/>
    <x v="1"/>
    <x v="287"/>
    <x v="287"/>
    <x v="287"/>
  </r>
  <r>
    <n v="1060"/>
    <x v="185"/>
    <x v="1"/>
    <x v="0"/>
    <x v="288"/>
    <x v="47"/>
    <x v="0"/>
    <n v="3970.08"/>
    <n v="4096.4799999999996"/>
    <x v="0"/>
    <n v="0.13"/>
    <x v="0"/>
    <x v="1"/>
    <s v="North-David"/>
    <x v="3"/>
    <x v="2"/>
    <x v="288"/>
    <x v="288"/>
    <x v="288"/>
  </r>
  <r>
    <n v="1002"/>
    <x v="149"/>
    <x v="2"/>
    <x v="1"/>
    <x v="289"/>
    <x v="42"/>
    <x v="2"/>
    <n v="2041.42"/>
    <n v="2291.17"/>
    <x v="0"/>
    <n v="0.28000000000000003"/>
    <x v="0"/>
    <x v="0"/>
    <s v="West-Charlie"/>
    <x v="10"/>
    <x v="5"/>
    <x v="289"/>
    <x v="289"/>
    <x v="289"/>
  </r>
  <r>
    <n v="1001"/>
    <x v="186"/>
    <x v="0"/>
    <x v="1"/>
    <x v="290"/>
    <x v="46"/>
    <x v="1"/>
    <n v="2153.52"/>
    <n v="2303.6999999999998"/>
    <x v="0"/>
    <n v="0.01"/>
    <x v="0"/>
    <x v="1"/>
    <s v="West-Bob"/>
    <x v="3"/>
    <x v="1"/>
    <x v="290"/>
    <x v="290"/>
    <x v="290"/>
  </r>
  <r>
    <n v="1048"/>
    <x v="187"/>
    <x v="4"/>
    <x v="0"/>
    <x v="291"/>
    <x v="32"/>
    <x v="0"/>
    <n v="1945.27"/>
    <n v="2309.4299999999998"/>
    <x v="1"/>
    <n v="0.26"/>
    <x v="2"/>
    <x v="0"/>
    <s v="North-Alice"/>
    <x v="11"/>
    <x v="5"/>
    <x v="291"/>
    <x v="291"/>
    <x v="291"/>
  </r>
  <r>
    <n v="1012"/>
    <x v="24"/>
    <x v="3"/>
    <x v="0"/>
    <x v="292"/>
    <x v="32"/>
    <x v="2"/>
    <n v="3609.42"/>
    <n v="4082.62"/>
    <x v="0"/>
    <n v="0.3"/>
    <x v="1"/>
    <x v="1"/>
    <s v="North-Eve"/>
    <x v="8"/>
    <x v="3"/>
    <x v="292"/>
    <x v="292"/>
    <x v="292"/>
  </r>
  <r>
    <n v="1069"/>
    <x v="188"/>
    <x v="3"/>
    <x v="0"/>
    <x v="293"/>
    <x v="0"/>
    <x v="0"/>
    <n v="2760.21"/>
    <n v="3219.58"/>
    <x v="1"/>
    <n v="0.27"/>
    <x v="1"/>
    <x v="1"/>
    <s v="North-Eve"/>
    <x v="0"/>
    <x v="6"/>
    <x v="293"/>
    <x v="293"/>
    <x v="293"/>
  </r>
  <r>
    <n v="1037"/>
    <x v="189"/>
    <x v="4"/>
    <x v="2"/>
    <x v="294"/>
    <x v="41"/>
    <x v="1"/>
    <n v="4721.7"/>
    <n v="5017.58"/>
    <x v="1"/>
    <n v="0.24"/>
    <x v="0"/>
    <x v="1"/>
    <s v="South-Alice"/>
    <x v="6"/>
    <x v="6"/>
    <x v="294"/>
    <x v="294"/>
    <x v="294"/>
  </r>
  <r>
    <n v="1032"/>
    <x v="178"/>
    <x v="4"/>
    <x v="0"/>
    <x v="295"/>
    <x v="1"/>
    <x v="2"/>
    <n v="1291.9100000000001"/>
    <n v="1528.59"/>
    <x v="0"/>
    <n v="0.11"/>
    <x v="2"/>
    <x v="1"/>
    <s v="North-Alice"/>
    <x v="7"/>
    <x v="1"/>
    <x v="295"/>
    <x v="295"/>
    <x v="295"/>
  </r>
  <r>
    <n v="1009"/>
    <x v="82"/>
    <x v="0"/>
    <x v="2"/>
    <x v="296"/>
    <x v="28"/>
    <x v="1"/>
    <n v="547.79"/>
    <n v="958.76"/>
    <x v="0"/>
    <n v="7.0000000000000007E-2"/>
    <x v="2"/>
    <x v="1"/>
    <s v="South-Bob"/>
    <x v="8"/>
    <x v="6"/>
    <x v="296"/>
    <x v="296"/>
    <x v="296"/>
  </r>
  <r>
    <n v="1099"/>
    <x v="95"/>
    <x v="2"/>
    <x v="0"/>
    <x v="297"/>
    <x v="28"/>
    <x v="1"/>
    <n v="1996.64"/>
    <n v="2341.4699999999998"/>
    <x v="0"/>
    <n v="0.22"/>
    <x v="2"/>
    <x v="0"/>
    <s v="North-Charlie"/>
    <x v="7"/>
    <x v="0"/>
    <x v="297"/>
    <x v="297"/>
    <x v="297"/>
  </r>
  <r>
    <n v="1019"/>
    <x v="190"/>
    <x v="3"/>
    <x v="2"/>
    <x v="298"/>
    <x v="4"/>
    <x v="1"/>
    <n v="3102.73"/>
    <n v="3202.68"/>
    <x v="1"/>
    <n v="0.09"/>
    <x v="0"/>
    <x v="0"/>
    <s v="South-Eve"/>
    <x v="10"/>
    <x v="6"/>
    <x v="298"/>
    <x v="298"/>
    <x v="298"/>
  </r>
  <r>
    <n v="1048"/>
    <x v="191"/>
    <x v="0"/>
    <x v="1"/>
    <x v="299"/>
    <x v="48"/>
    <x v="2"/>
    <n v="4310.95"/>
    <n v="4723.2"/>
    <x v="0"/>
    <n v="0.05"/>
    <x v="2"/>
    <x v="1"/>
    <s v="West-Bob"/>
    <x v="5"/>
    <x v="1"/>
    <x v="299"/>
    <x v="299"/>
    <x v="299"/>
  </r>
  <r>
    <n v="1080"/>
    <x v="192"/>
    <x v="2"/>
    <x v="3"/>
    <x v="300"/>
    <x v="16"/>
    <x v="3"/>
    <n v="1763.67"/>
    <n v="1983.82"/>
    <x v="1"/>
    <n v="0.24"/>
    <x v="2"/>
    <x v="0"/>
    <s v="East-Charlie"/>
    <x v="5"/>
    <x v="6"/>
    <x v="300"/>
    <x v="300"/>
    <x v="300"/>
  </r>
  <r>
    <n v="1003"/>
    <x v="160"/>
    <x v="0"/>
    <x v="1"/>
    <x v="301"/>
    <x v="13"/>
    <x v="2"/>
    <n v="3286.24"/>
    <n v="3388.8399999999901"/>
    <x v="0"/>
    <n v="0.09"/>
    <x v="2"/>
    <x v="1"/>
    <s v="West-Bob"/>
    <x v="2"/>
    <x v="1"/>
    <x v="301"/>
    <x v="301"/>
    <x v="301"/>
  </r>
  <r>
    <n v="1020"/>
    <x v="101"/>
    <x v="3"/>
    <x v="1"/>
    <x v="302"/>
    <x v="12"/>
    <x v="1"/>
    <n v="1783.48"/>
    <n v="1931.56"/>
    <x v="0"/>
    <n v="0.27"/>
    <x v="1"/>
    <x v="1"/>
    <s v="West-Eve"/>
    <x v="4"/>
    <x v="5"/>
    <x v="302"/>
    <x v="302"/>
    <x v="302"/>
  </r>
  <r>
    <n v="1024"/>
    <x v="193"/>
    <x v="4"/>
    <x v="0"/>
    <x v="303"/>
    <x v="8"/>
    <x v="2"/>
    <n v="3105.24"/>
    <n v="3246.33"/>
    <x v="1"/>
    <n v="0.25"/>
    <x v="0"/>
    <x v="0"/>
    <s v="North-Alice"/>
    <x v="6"/>
    <x v="2"/>
    <x v="303"/>
    <x v="303"/>
    <x v="303"/>
  </r>
  <r>
    <n v="1054"/>
    <x v="43"/>
    <x v="4"/>
    <x v="2"/>
    <x v="304"/>
    <x v="20"/>
    <x v="1"/>
    <n v="4429.8"/>
    <n v="4694.21"/>
    <x v="1"/>
    <n v="0.25"/>
    <x v="1"/>
    <x v="0"/>
    <s v="South-Alice"/>
    <x v="11"/>
    <x v="1"/>
    <x v="304"/>
    <x v="304"/>
    <x v="304"/>
  </r>
  <r>
    <n v="1033"/>
    <x v="55"/>
    <x v="2"/>
    <x v="3"/>
    <x v="305"/>
    <x v="16"/>
    <x v="3"/>
    <n v="1195.22"/>
    <n v="1320.06"/>
    <x v="0"/>
    <n v="0.23"/>
    <x v="1"/>
    <x v="1"/>
    <s v="East-Charlie"/>
    <x v="1"/>
    <x v="5"/>
    <x v="305"/>
    <x v="305"/>
    <x v="305"/>
  </r>
  <r>
    <n v="1024"/>
    <x v="194"/>
    <x v="1"/>
    <x v="0"/>
    <x v="306"/>
    <x v="22"/>
    <x v="0"/>
    <n v="2051"/>
    <n v="2121.5500000000002"/>
    <x v="0"/>
    <n v="0.26"/>
    <x v="0"/>
    <x v="1"/>
    <s v="North-David"/>
    <x v="1"/>
    <x v="4"/>
    <x v="306"/>
    <x v="306"/>
    <x v="306"/>
  </r>
  <r>
    <n v="1075"/>
    <x v="195"/>
    <x v="2"/>
    <x v="0"/>
    <x v="307"/>
    <x v="1"/>
    <x v="3"/>
    <n v="4966.66"/>
    <n v="5037.2699999999904"/>
    <x v="0"/>
    <n v="0.24"/>
    <x v="1"/>
    <x v="1"/>
    <s v="North-Charlie"/>
    <x v="3"/>
    <x v="1"/>
    <x v="307"/>
    <x v="307"/>
    <x v="307"/>
  </r>
  <r>
    <n v="1072"/>
    <x v="196"/>
    <x v="1"/>
    <x v="0"/>
    <x v="308"/>
    <x v="22"/>
    <x v="3"/>
    <n v="4349.3599999999997"/>
    <n v="4645.17"/>
    <x v="0"/>
    <n v="0.18"/>
    <x v="2"/>
    <x v="1"/>
    <s v="North-David"/>
    <x v="6"/>
    <x v="1"/>
    <x v="308"/>
    <x v="308"/>
    <x v="308"/>
  </r>
  <r>
    <n v="1036"/>
    <x v="78"/>
    <x v="0"/>
    <x v="1"/>
    <x v="309"/>
    <x v="12"/>
    <x v="0"/>
    <n v="2844.97"/>
    <n v="3215"/>
    <x v="0"/>
    <n v="0.09"/>
    <x v="2"/>
    <x v="1"/>
    <s v="West-Bob"/>
    <x v="8"/>
    <x v="6"/>
    <x v="309"/>
    <x v="309"/>
    <x v="309"/>
  </r>
  <r>
    <n v="1038"/>
    <x v="102"/>
    <x v="0"/>
    <x v="2"/>
    <x v="310"/>
    <x v="46"/>
    <x v="2"/>
    <n v="2607.31"/>
    <n v="2774.86"/>
    <x v="1"/>
    <n v="0.27"/>
    <x v="2"/>
    <x v="1"/>
    <s v="South-Bob"/>
    <x v="10"/>
    <x v="0"/>
    <x v="310"/>
    <x v="310"/>
    <x v="310"/>
  </r>
  <r>
    <n v="1084"/>
    <x v="2"/>
    <x v="3"/>
    <x v="2"/>
    <x v="311"/>
    <x v="43"/>
    <x v="0"/>
    <n v="1458.77"/>
    <n v="1485.75"/>
    <x v="1"/>
    <n v="0.25"/>
    <x v="2"/>
    <x v="0"/>
    <s v="South-Eve"/>
    <x v="2"/>
    <x v="1"/>
    <x v="311"/>
    <x v="311"/>
    <x v="311"/>
  </r>
  <r>
    <n v="1099"/>
    <x v="164"/>
    <x v="1"/>
    <x v="3"/>
    <x v="312"/>
    <x v="22"/>
    <x v="2"/>
    <n v="2610.19"/>
    <n v="2682.53"/>
    <x v="1"/>
    <n v="0.14000000000000001"/>
    <x v="0"/>
    <x v="1"/>
    <s v="East-David"/>
    <x v="0"/>
    <x v="0"/>
    <x v="312"/>
    <x v="312"/>
    <x v="312"/>
  </r>
  <r>
    <n v="1089"/>
    <x v="197"/>
    <x v="3"/>
    <x v="2"/>
    <x v="313"/>
    <x v="5"/>
    <x v="2"/>
    <n v="4248.5"/>
    <n v="4706.7"/>
    <x v="1"/>
    <n v="0.01"/>
    <x v="1"/>
    <x v="1"/>
    <s v="South-Eve"/>
    <x v="9"/>
    <x v="4"/>
    <x v="313"/>
    <x v="313"/>
    <x v="313"/>
  </r>
  <r>
    <n v="1099"/>
    <x v="198"/>
    <x v="4"/>
    <x v="2"/>
    <x v="314"/>
    <x v="10"/>
    <x v="1"/>
    <n v="3441.61"/>
    <n v="3693.45"/>
    <x v="0"/>
    <n v="0.19"/>
    <x v="1"/>
    <x v="0"/>
    <s v="South-Alice"/>
    <x v="10"/>
    <x v="1"/>
    <x v="314"/>
    <x v="314"/>
    <x v="314"/>
  </r>
  <r>
    <n v="1025"/>
    <x v="108"/>
    <x v="1"/>
    <x v="0"/>
    <x v="315"/>
    <x v="16"/>
    <x v="1"/>
    <n v="1485.72"/>
    <n v="1717.97"/>
    <x v="1"/>
    <n v="0.02"/>
    <x v="2"/>
    <x v="1"/>
    <s v="North-David"/>
    <x v="7"/>
    <x v="5"/>
    <x v="315"/>
    <x v="315"/>
    <x v="315"/>
  </r>
  <r>
    <n v="1093"/>
    <x v="199"/>
    <x v="2"/>
    <x v="0"/>
    <x v="316"/>
    <x v="11"/>
    <x v="0"/>
    <n v="1047.25"/>
    <n v="1075.8900000000001"/>
    <x v="1"/>
    <n v="0.28000000000000003"/>
    <x v="2"/>
    <x v="1"/>
    <s v="North-Charlie"/>
    <x v="2"/>
    <x v="2"/>
    <x v="316"/>
    <x v="316"/>
    <x v="316"/>
  </r>
  <r>
    <n v="1018"/>
    <x v="200"/>
    <x v="4"/>
    <x v="1"/>
    <x v="317"/>
    <x v="38"/>
    <x v="3"/>
    <n v="1362.78"/>
    <n v="1729.81"/>
    <x v="1"/>
    <n v="0.28999999999999998"/>
    <x v="1"/>
    <x v="0"/>
    <s v="West-Alice"/>
    <x v="5"/>
    <x v="4"/>
    <x v="317"/>
    <x v="317"/>
    <x v="317"/>
  </r>
  <r>
    <n v="1082"/>
    <x v="201"/>
    <x v="4"/>
    <x v="0"/>
    <x v="318"/>
    <x v="1"/>
    <x v="0"/>
    <n v="890.31"/>
    <n v="1159.06"/>
    <x v="0"/>
    <n v="0.06"/>
    <x v="0"/>
    <x v="1"/>
    <s v="North-Alice"/>
    <x v="6"/>
    <x v="5"/>
    <x v="318"/>
    <x v="318"/>
    <x v="318"/>
  </r>
  <r>
    <n v="1066"/>
    <x v="202"/>
    <x v="2"/>
    <x v="0"/>
    <x v="319"/>
    <x v="48"/>
    <x v="2"/>
    <n v="523.41999999999996"/>
    <n v="632.43999999999903"/>
    <x v="1"/>
    <n v="0.2"/>
    <x v="1"/>
    <x v="0"/>
    <s v="North-Charlie"/>
    <x v="4"/>
    <x v="3"/>
    <x v="319"/>
    <x v="319"/>
    <x v="319"/>
  </r>
  <r>
    <n v="1054"/>
    <x v="164"/>
    <x v="4"/>
    <x v="0"/>
    <x v="320"/>
    <x v="8"/>
    <x v="1"/>
    <n v="2124.7199999999998"/>
    <n v="2188.66"/>
    <x v="0"/>
    <n v="0.03"/>
    <x v="2"/>
    <x v="1"/>
    <s v="North-Alice"/>
    <x v="0"/>
    <x v="0"/>
    <x v="320"/>
    <x v="320"/>
    <x v="320"/>
  </r>
  <r>
    <n v="1035"/>
    <x v="108"/>
    <x v="1"/>
    <x v="0"/>
    <x v="321"/>
    <x v="21"/>
    <x v="0"/>
    <n v="610.83000000000004"/>
    <n v="808.69"/>
    <x v="1"/>
    <n v="0.22"/>
    <x v="2"/>
    <x v="0"/>
    <s v="North-David"/>
    <x v="7"/>
    <x v="5"/>
    <x v="321"/>
    <x v="321"/>
    <x v="321"/>
  </r>
  <r>
    <n v="1080"/>
    <x v="68"/>
    <x v="3"/>
    <x v="1"/>
    <x v="322"/>
    <x v="22"/>
    <x v="0"/>
    <n v="900.97"/>
    <n v="1321.18"/>
    <x v="0"/>
    <n v="0.1"/>
    <x v="0"/>
    <x v="0"/>
    <s v="West-Eve"/>
    <x v="6"/>
    <x v="3"/>
    <x v="322"/>
    <x v="322"/>
    <x v="322"/>
  </r>
  <r>
    <n v="1061"/>
    <x v="89"/>
    <x v="4"/>
    <x v="0"/>
    <x v="323"/>
    <x v="5"/>
    <x v="1"/>
    <n v="2759.26"/>
    <n v="3193.25"/>
    <x v="1"/>
    <n v="0.2"/>
    <x v="1"/>
    <x v="0"/>
    <s v="North-Alice"/>
    <x v="9"/>
    <x v="0"/>
    <x v="323"/>
    <x v="323"/>
    <x v="323"/>
  </r>
  <r>
    <n v="1041"/>
    <x v="203"/>
    <x v="1"/>
    <x v="3"/>
    <x v="324"/>
    <x v="43"/>
    <x v="1"/>
    <n v="864.77"/>
    <n v="1170.1599999999901"/>
    <x v="0"/>
    <n v="0.11"/>
    <x v="0"/>
    <x v="1"/>
    <s v="East-David"/>
    <x v="5"/>
    <x v="5"/>
    <x v="324"/>
    <x v="324"/>
    <x v="324"/>
  </r>
  <r>
    <n v="1100"/>
    <x v="77"/>
    <x v="0"/>
    <x v="3"/>
    <x v="325"/>
    <x v="4"/>
    <x v="1"/>
    <n v="366.2"/>
    <n v="732.69"/>
    <x v="1"/>
    <n v="0.04"/>
    <x v="0"/>
    <x v="1"/>
    <s v="East-Bob"/>
    <x v="8"/>
    <x v="0"/>
    <x v="325"/>
    <x v="325"/>
    <x v="325"/>
  </r>
  <r>
    <n v="1033"/>
    <x v="163"/>
    <x v="1"/>
    <x v="3"/>
    <x v="326"/>
    <x v="32"/>
    <x v="2"/>
    <n v="1621.07"/>
    <n v="1687.5"/>
    <x v="0"/>
    <n v="0.12"/>
    <x v="2"/>
    <x v="0"/>
    <s v="East-David"/>
    <x v="8"/>
    <x v="1"/>
    <x v="326"/>
    <x v="326"/>
    <x v="326"/>
  </r>
  <r>
    <n v="1068"/>
    <x v="29"/>
    <x v="3"/>
    <x v="3"/>
    <x v="327"/>
    <x v="28"/>
    <x v="1"/>
    <n v="1140.58"/>
    <n v="1438.76"/>
    <x v="0"/>
    <n v="0.03"/>
    <x v="1"/>
    <x v="0"/>
    <s v="East-Eve"/>
    <x v="2"/>
    <x v="4"/>
    <x v="327"/>
    <x v="327"/>
    <x v="327"/>
  </r>
  <r>
    <n v="1033"/>
    <x v="204"/>
    <x v="1"/>
    <x v="0"/>
    <x v="328"/>
    <x v="35"/>
    <x v="3"/>
    <n v="2600.7600000000002"/>
    <n v="2937.57"/>
    <x v="1"/>
    <n v="0.17"/>
    <x v="2"/>
    <x v="1"/>
    <s v="North-David"/>
    <x v="8"/>
    <x v="5"/>
    <x v="328"/>
    <x v="328"/>
    <x v="328"/>
  </r>
  <r>
    <n v="1014"/>
    <x v="205"/>
    <x v="2"/>
    <x v="3"/>
    <x v="329"/>
    <x v="10"/>
    <x v="0"/>
    <n v="556.72"/>
    <n v="665.07"/>
    <x v="0"/>
    <n v="0.01"/>
    <x v="1"/>
    <x v="1"/>
    <s v="East-Charlie"/>
    <x v="2"/>
    <x v="3"/>
    <x v="329"/>
    <x v="329"/>
    <x v="329"/>
  </r>
  <r>
    <n v="1021"/>
    <x v="90"/>
    <x v="3"/>
    <x v="0"/>
    <x v="330"/>
    <x v="13"/>
    <x v="1"/>
    <n v="3771.27"/>
    <n v="4212.55"/>
    <x v="0"/>
    <n v="0.16"/>
    <x v="2"/>
    <x v="1"/>
    <s v="North-Eve"/>
    <x v="8"/>
    <x v="0"/>
    <x v="330"/>
    <x v="330"/>
    <x v="330"/>
  </r>
  <r>
    <n v="1048"/>
    <x v="206"/>
    <x v="0"/>
    <x v="1"/>
    <x v="331"/>
    <x v="20"/>
    <x v="1"/>
    <n v="4535.8599999999997"/>
    <n v="4641.41"/>
    <x v="1"/>
    <n v="0.27"/>
    <x v="2"/>
    <x v="1"/>
    <s v="West-Bob"/>
    <x v="0"/>
    <x v="1"/>
    <x v="331"/>
    <x v="331"/>
    <x v="331"/>
  </r>
  <r>
    <n v="1020"/>
    <x v="207"/>
    <x v="2"/>
    <x v="3"/>
    <x v="332"/>
    <x v="41"/>
    <x v="2"/>
    <n v="3730"/>
    <n v="3893.6"/>
    <x v="1"/>
    <n v="0.25"/>
    <x v="1"/>
    <x v="1"/>
    <s v="East-Charlie"/>
    <x v="2"/>
    <x v="6"/>
    <x v="332"/>
    <x v="332"/>
    <x v="332"/>
  </r>
  <r>
    <n v="1008"/>
    <x v="208"/>
    <x v="1"/>
    <x v="2"/>
    <x v="333"/>
    <x v="11"/>
    <x v="2"/>
    <n v="2687.49"/>
    <n v="3001.56"/>
    <x v="0"/>
    <n v="0.26"/>
    <x v="1"/>
    <x v="0"/>
    <s v="South-David"/>
    <x v="3"/>
    <x v="5"/>
    <x v="333"/>
    <x v="333"/>
    <x v="333"/>
  </r>
  <r>
    <n v="1007"/>
    <x v="14"/>
    <x v="3"/>
    <x v="3"/>
    <x v="334"/>
    <x v="25"/>
    <x v="0"/>
    <n v="4310.3100000000004"/>
    <n v="4633.1000000000004"/>
    <x v="1"/>
    <n v="0.28000000000000003"/>
    <x v="2"/>
    <x v="1"/>
    <s v="East-Eve"/>
    <x v="3"/>
    <x v="1"/>
    <x v="334"/>
    <x v="334"/>
    <x v="334"/>
  </r>
  <r>
    <n v="1067"/>
    <x v="119"/>
    <x v="0"/>
    <x v="3"/>
    <x v="335"/>
    <x v="40"/>
    <x v="3"/>
    <n v="3489.85"/>
    <n v="3842.5499999999902"/>
    <x v="1"/>
    <n v="0.03"/>
    <x v="1"/>
    <x v="0"/>
    <s v="East-Bob"/>
    <x v="4"/>
    <x v="6"/>
    <x v="335"/>
    <x v="335"/>
    <x v="335"/>
  </r>
  <r>
    <n v="1017"/>
    <x v="156"/>
    <x v="2"/>
    <x v="0"/>
    <x v="336"/>
    <x v="25"/>
    <x v="0"/>
    <n v="102.23"/>
    <n v="167.12"/>
    <x v="1"/>
    <n v="0.04"/>
    <x v="2"/>
    <x v="1"/>
    <s v="North-Charlie"/>
    <x v="0"/>
    <x v="4"/>
    <x v="336"/>
    <x v="336"/>
    <x v="336"/>
  </r>
  <r>
    <n v="1033"/>
    <x v="123"/>
    <x v="0"/>
    <x v="3"/>
    <x v="337"/>
    <x v="41"/>
    <x v="1"/>
    <n v="2000.75"/>
    <n v="2426.9899999999998"/>
    <x v="0"/>
    <n v="0.17"/>
    <x v="1"/>
    <x v="0"/>
    <s v="East-Bob"/>
    <x v="1"/>
    <x v="0"/>
    <x v="337"/>
    <x v="337"/>
    <x v="337"/>
  </r>
  <r>
    <n v="1048"/>
    <x v="154"/>
    <x v="1"/>
    <x v="2"/>
    <x v="338"/>
    <x v="27"/>
    <x v="3"/>
    <n v="4262.21"/>
    <n v="4533.3100000000004"/>
    <x v="0"/>
    <n v="0.27"/>
    <x v="2"/>
    <x v="0"/>
    <s v="South-David"/>
    <x v="1"/>
    <x v="5"/>
    <x v="338"/>
    <x v="338"/>
    <x v="338"/>
  </r>
  <r>
    <n v="1076"/>
    <x v="2"/>
    <x v="0"/>
    <x v="0"/>
    <x v="339"/>
    <x v="42"/>
    <x v="3"/>
    <n v="1762"/>
    <n v="2002.95"/>
    <x v="0"/>
    <n v="0.28999999999999998"/>
    <x v="2"/>
    <x v="1"/>
    <s v="North-Bob"/>
    <x v="2"/>
    <x v="1"/>
    <x v="339"/>
    <x v="339"/>
    <x v="339"/>
  </r>
  <r>
    <n v="1059"/>
    <x v="96"/>
    <x v="4"/>
    <x v="0"/>
    <x v="340"/>
    <x v="40"/>
    <x v="3"/>
    <n v="224.32"/>
    <n v="715.06"/>
    <x v="0"/>
    <n v="0.01"/>
    <x v="2"/>
    <x v="0"/>
    <s v="North-Alice"/>
    <x v="7"/>
    <x v="6"/>
    <x v="340"/>
    <x v="340"/>
    <x v="340"/>
  </r>
  <r>
    <n v="1086"/>
    <x v="209"/>
    <x v="2"/>
    <x v="1"/>
    <x v="341"/>
    <x v="5"/>
    <x v="3"/>
    <n v="3743.59"/>
    <n v="4116.38"/>
    <x v="0"/>
    <n v="0.11"/>
    <x v="0"/>
    <x v="0"/>
    <s v="West-Charlie"/>
    <x v="1"/>
    <x v="1"/>
    <x v="341"/>
    <x v="341"/>
    <x v="341"/>
  </r>
  <r>
    <n v="1022"/>
    <x v="210"/>
    <x v="0"/>
    <x v="1"/>
    <x v="342"/>
    <x v="27"/>
    <x v="0"/>
    <n v="4020.09"/>
    <n v="4087.91"/>
    <x v="0"/>
    <n v="0.06"/>
    <x v="1"/>
    <x v="0"/>
    <s v="West-Bob"/>
    <x v="4"/>
    <x v="6"/>
    <x v="342"/>
    <x v="342"/>
    <x v="342"/>
  </r>
  <r>
    <n v="1030"/>
    <x v="101"/>
    <x v="1"/>
    <x v="3"/>
    <x v="343"/>
    <x v="39"/>
    <x v="2"/>
    <n v="844.94"/>
    <n v="1225.6400000000001"/>
    <x v="0"/>
    <n v="0.23"/>
    <x v="2"/>
    <x v="0"/>
    <s v="East-David"/>
    <x v="4"/>
    <x v="5"/>
    <x v="343"/>
    <x v="343"/>
    <x v="343"/>
  </r>
  <r>
    <n v="1038"/>
    <x v="108"/>
    <x v="1"/>
    <x v="1"/>
    <x v="344"/>
    <x v="17"/>
    <x v="2"/>
    <n v="2709.84"/>
    <n v="2766.51"/>
    <x v="1"/>
    <n v="0.19"/>
    <x v="0"/>
    <x v="1"/>
    <s v="West-David"/>
    <x v="7"/>
    <x v="5"/>
    <x v="344"/>
    <x v="344"/>
    <x v="344"/>
  </r>
  <r>
    <n v="1051"/>
    <x v="211"/>
    <x v="0"/>
    <x v="1"/>
    <x v="345"/>
    <x v="45"/>
    <x v="1"/>
    <n v="1000.18"/>
    <n v="1023.64"/>
    <x v="0"/>
    <n v="0.04"/>
    <x v="2"/>
    <x v="0"/>
    <s v="West-Bob"/>
    <x v="1"/>
    <x v="5"/>
    <x v="345"/>
    <x v="345"/>
    <x v="345"/>
  </r>
  <r>
    <n v="1054"/>
    <x v="146"/>
    <x v="1"/>
    <x v="1"/>
    <x v="346"/>
    <x v="29"/>
    <x v="2"/>
    <n v="3610.21"/>
    <n v="3817.99"/>
    <x v="0"/>
    <n v="0.15"/>
    <x v="0"/>
    <x v="1"/>
    <s v="West-David"/>
    <x v="7"/>
    <x v="5"/>
    <x v="346"/>
    <x v="346"/>
    <x v="346"/>
  </r>
  <r>
    <n v="1008"/>
    <x v="98"/>
    <x v="3"/>
    <x v="0"/>
    <x v="347"/>
    <x v="38"/>
    <x v="2"/>
    <n v="1394.17"/>
    <n v="1891.02"/>
    <x v="1"/>
    <n v="0.21"/>
    <x v="2"/>
    <x v="0"/>
    <s v="North-Eve"/>
    <x v="6"/>
    <x v="6"/>
    <x v="347"/>
    <x v="347"/>
    <x v="347"/>
  </r>
  <r>
    <n v="1027"/>
    <x v="162"/>
    <x v="3"/>
    <x v="0"/>
    <x v="348"/>
    <x v="13"/>
    <x v="2"/>
    <n v="1615.26"/>
    <n v="1710.95"/>
    <x v="1"/>
    <n v="0.23"/>
    <x v="2"/>
    <x v="1"/>
    <s v="North-Eve"/>
    <x v="11"/>
    <x v="2"/>
    <x v="348"/>
    <x v="348"/>
    <x v="348"/>
  </r>
  <r>
    <n v="1027"/>
    <x v="34"/>
    <x v="3"/>
    <x v="0"/>
    <x v="349"/>
    <x v="8"/>
    <x v="2"/>
    <n v="4232.6099999999997"/>
    <n v="4572.21"/>
    <x v="1"/>
    <n v="0.01"/>
    <x v="0"/>
    <x v="1"/>
    <s v="North-Eve"/>
    <x v="3"/>
    <x v="0"/>
    <x v="349"/>
    <x v="349"/>
    <x v="349"/>
  </r>
  <r>
    <n v="1098"/>
    <x v="27"/>
    <x v="4"/>
    <x v="1"/>
    <x v="350"/>
    <x v="17"/>
    <x v="1"/>
    <n v="2407.8000000000002"/>
    <n v="2502.7600000000002"/>
    <x v="0"/>
    <n v="0.27"/>
    <x v="0"/>
    <x v="1"/>
    <s v="West-Alice"/>
    <x v="8"/>
    <x v="3"/>
    <x v="350"/>
    <x v="350"/>
    <x v="350"/>
  </r>
  <r>
    <n v="1021"/>
    <x v="212"/>
    <x v="0"/>
    <x v="0"/>
    <x v="351"/>
    <x v="14"/>
    <x v="0"/>
    <n v="3365.28"/>
    <n v="3730.43"/>
    <x v="1"/>
    <n v="0.17"/>
    <x v="1"/>
    <x v="0"/>
    <s v="North-Bob"/>
    <x v="5"/>
    <x v="2"/>
    <x v="351"/>
    <x v="351"/>
    <x v="351"/>
  </r>
  <r>
    <n v="1030"/>
    <x v="128"/>
    <x v="4"/>
    <x v="1"/>
    <x v="352"/>
    <x v="3"/>
    <x v="3"/>
    <n v="2041.75"/>
    <n v="2299.37"/>
    <x v="0"/>
    <n v="0.24"/>
    <x v="1"/>
    <x v="1"/>
    <s v="West-Alice"/>
    <x v="8"/>
    <x v="5"/>
    <x v="352"/>
    <x v="352"/>
    <x v="352"/>
  </r>
  <r>
    <n v="1097"/>
    <x v="213"/>
    <x v="1"/>
    <x v="0"/>
    <x v="353"/>
    <x v="27"/>
    <x v="2"/>
    <n v="1525.13"/>
    <n v="1868.32"/>
    <x v="0"/>
    <n v="0.24"/>
    <x v="0"/>
    <x v="1"/>
    <s v="North-David"/>
    <x v="2"/>
    <x v="6"/>
    <x v="353"/>
    <x v="353"/>
    <x v="353"/>
  </r>
  <r>
    <n v="1028"/>
    <x v="67"/>
    <x v="4"/>
    <x v="0"/>
    <x v="354"/>
    <x v="39"/>
    <x v="0"/>
    <n v="3146.12"/>
    <n v="3255.5299999999902"/>
    <x v="0"/>
    <n v="0.06"/>
    <x v="1"/>
    <x v="0"/>
    <s v="North-Alice"/>
    <x v="6"/>
    <x v="2"/>
    <x v="354"/>
    <x v="354"/>
    <x v="354"/>
  </r>
  <r>
    <n v="1064"/>
    <x v="214"/>
    <x v="1"/>
    <x v="2"/>
    <x v="355"/>
    <x v="29"/>
    <x v="2"/>
    <n v="816.54"/>
    <n v="1191.9000000000001"/>
    <x v="1"/>
    <n v="0.03"/>
    <x v="0"/>
    <x v="1"/>
    <s v="South-David"/>
    <x v="10"/>
    <x v="6"/>
    <x v="355"/>
    <x v="355"/>
    <x v="355"/>
  </r>
  <r>
    <n v="1097"/>
    <x v="215"/>
    <x v="1"/>
    <x v="3"/>
    <x v="356"/>
    <x v="48"/>
    <x v="2"/>
    <n v="1896.35"/>
    <n v="2394.1999999999998"/>
    <x v="1"/>
    <n v="0.22"/>
    <x v="1"/>
    <x v="0"/>
    <s v="East-David"/>
    <x v="4"/>
    <x v="5"/>
    <x v="356"/>
    <x v="356"/>
    <x v="356"/>
  </r>
  <r>
    <n v="1069"/>
    <x v="216"/>
    <x v="2"/>
    <x v="1"/>
    <x v="357"/>
    <x v="16"/>
    <x v="3"/>
    <n v="1084.73"/>
    <n v="1420.9"/>
    <x v="0"/>
    <n v="0.05"/>
    <x v="2"/>
    <x v="0"/>
    <s v="West-Charlie"/>
    <x v="10"/>
    <x v="2"/>
    <x v="357"/>
    <x v="357"/>
    <x v="357"/>
  </r>
  <r>
    <n v="1061"/>
    <x v="20"/>
    <x v="3"/>
    <x v="2"/>
    <x v="358"/>
    <x v="3"/>
    <x v="3"/>
    <n v="3494.19"/>
    <n v="3746"/>
    <x v="0"/>
    <n v="0.25"/>
    <x v="1"/>
    <x v="1"/>
    <s v="South-Eve"/>
    <x v="1"/>
    <x v="2"/>
    <x v="358"/>
    <x v="358"/>
    <x v="358"/>
  </r>
  <r>
    <n v="1048"/>
    <x v="33"/>
    <x v="1"/>
    <x v="0"/>
    <x v="359"/>
    <x v="31"/>
    <x v="3"/>
    <n v="4723.83"/>
    <n v="5186.1899999999996"/>
    <x v="0"/>
    <n v="0.22"/>
    <x v="2"/>
    <x v="0"/>
    <s v="North-David"/>
    <x v="0"/>
    <x v="5"/>
    <x v="359"/>
    <x v="359"/>
    <x v="359"/>
  </r>
  <r>
    <n v="1019"/>
    <x v="178"/>
    <x v="2"/>
    <x v="1"/>
    <x v="360"/>
    <x v="25"/>
    <x v="2"/>
    <n v="4977.78"/>
    <n v="4995.55"/>
    <x v="1"/>
    <n v="0.25"/>
    <x v="2"/>
    <x v="0"/>
    <s v="West-Charlie"/>
    <x v="7"/>
    <x v="1"/>
    <x v="360"/>
    <x v="360"/>
    <x v="360"/>
  </r>
  <r>
    <n v="1004"/>
    <x v="217"/>
    <x v="3"/>
    <x v="0"/>
    <x v="361"/>
    <x v="22"/>
    <x v="2"/>
    <n v="2278.87"/>
    <n v="2646.5299999999902"/>
    <x v="0"/>
    <n v="0.09"/>
    <x v="1"/>
    <x v="0"/>
    <s v="North-Eve"/>
    <x v="11"/>
    <x v="0"/>
    <x v="361"/>
    <x v="361"/>
    <x v="361"/>
  </r>
  <r>
    <n v="1035"/>
    <x v="218"/>
    <x v="1"/>
    <x v="3"/>
    <x v="362"/>
    <x v="2"/>
    <x v="2"/>
    <n v="1300.03"/>
    <n v="1745.52"/>
    <x v="1"/>
    <n v="0.09"/>
    <x v="0"/>
    <x v="1"/>
    <s v="East-David"/>
    <x v="4"/>
    <x v="1"/>
    <x v="362"/>
    <x v="362"/>
    <x v="362"/>
  </r>
  <r>
    <n v="1064"/>
    <x v="219"/>
    <x v="1"/>
    <x v="2"/>
    <x v="363"/>
    <x v="15"/>
    <x v="3"/>
    <n v="2242.0100000000002"/>
    <n v="2282.23"/>
    <x v="0"/>
    <n v="0.2"/>
    <x v="2"/>
    <x v="0"/>
    <s v="South-David"/>
    <x v="5"/>
    <x v="4"/>
    <x v="363"/>
    <x v="363"/>
    <x v="363"/>
  </r>
  <r>
    <n v="1049"/>
    <x v="131"/>
    <x v="4"/>
    <x v="3"/>
    <x v="364"/>
    <x v="34"/>
    <x v="1"/>
    <n v="4243.9799999999996"/>
    <n v="4474.5099999999902"/>
    <x v="1"/>
    <n v="0.01"/>
    <x v="2"/>
    <x v="0"/>
    <s v="East-Alice"/>
    <x v="7"/>
    <x v="4"/>
    <x v="364"/>
    <x v="364"/>
    <x v="364"/>
  </r>
  <r>
    <n v="1017"/>
    <x v="220"/>
    <x v="4"/>
    <x v="2"/>
    <x v="365"/>
    <x v="0"/>
    <x v="0"/>
    <n v="1069.73"/>
    <n v="1180.04"/>
    <x v="0"/>
    <n v="0.22"/>
    <x v="1"/>
    <x v="0"/>
    <s v="South-Alice"/>
    <x v="11"/>
    <x v="5"/>
    <x v="365"/>
    <x v="119"/>
    <x v="365"/>
  </r>
  <r>
    <n v="1044"/>
    <x v="142"/>
    <x v="3"/>
    <x v="0"/>
    <x v="366"/>
    <x v="47"/>
    <x v="1"/>
    <n v="4762.87"/>
    <n v="5050.46"/>
    <x v="1"/>
    <n v="0.25"/>
    <x v="0"/>
    <x v="1"/>
    <s v="North-Eve"/>
    <x v="5"/>
    <x v="6"/>
    <x v="366"/>
    <x v="365"/>
    <x v="366"/>
  </r>
  <r>
    <n v="1092"/>
    <x v="221"/>
    <x v="1"/>
    <x v="3"/>
    <x v="367"/>
    <x v="6"/>
    <x v="2"/>
    <n v="1742.24"/>
    <n v="2070.52"/>
    <x v="1"/>
    <n v="0.12"/>
    <x v="0"/>
    <x v="0"/>
    <s v="East-David"/>
    <x v="3"/>
    <x v="3"/>
    <x v="367"/>
    <x v="366"/>
    <x v="367"/>
  </r>
  <r>
    <n v="1030"/>
    <x v="222"/>
    <x v="0"/>
    <x v="3"/>
    <x v="368"/>
    <x v="3"/>
    <x v="2"/>
    <n v="4929.7299999999996"/>
    <n v="5088.0199999999904"/>
    <x v="1"/>
    <n v="0.23"/>
    <x v="1"/>
    <x v="1"/>
    <s v="East-Bob"/>
    <x v="11"/>
    <x v="0"/>
    <x v="368"/>
    <x v="367"/>
    <x v="368"/>
  </r>
  <r>
    <n v="1093"/>
    <x v="223"/>
    <x v="4"/>
    <x v="0"/>
    <x v="369"/>
    <x v="24"/>
    <x v="1"/>
    <n v="4201.1099999999997"/>
    <n v="4436.5"/>
    <x v="1"/>
    <n v="0.05"/>
    <x v="0"/>
    <x v="0"/>
    <s v="North-Alice"/>
    <x v="1"/>
    <x v="2"/>
    <x v="369"/>
    <x v="368"/>
    <x v="369"/>
  </r>
  <r>
    <n v="1046"/>
    <x v="54"/>
    <x v="3"/>
    <x v="3"/>
    <x v="370"/>
    <x v="8"/>
    <x v="2"/>
    <n v="4052.42"/>
    <n v="4199.3"/>
    <x v="1"/>
    <n v="0.1"/>
    <x v="1"/>
    <x v="1"/>
    <s v="East-Eve"/>
    <x v="5"/>
    <x v="0"/>
    <x v="370"/>
    <x v="369"/>
    <x v="370"/>
  </r>
  <r>
    <n v="1006"/>
    <x v="70"/>
    <x v="1"/>
    <x v="1"/>
    <x v="371"/>
    <x v="27"/>
    <x v="0"/>
    <n v="1623.63"/>
    <n v="1814.63"/>
    <x v="1"/>
    <n v="0.28999999999999998"/>
    <x v="1"/>
    <x v="1"/>
    <s v="West-David"/>
    <x v="2"/>
    <x v="4"/>
    <x v="371"/>
    <x v="370"/>
    <x v="371"/>
  </r>
  <r>
    <n v="1099"/>
    <x v="62"/>
    <x v="1"/>
    <x v="2"/>
    <x v="372"/>
    <x v="18"/>
    <x v="2"/>
    <n v="93.45"/>
    <n v="181.62"/>
    <x v="0"/>
    <n v="0.3"/>
    <x v="1"/>
    <x v="1"/>
    <s v="South-David"/>
    <x v="7"/>
    <x v="0"/>
    <x v="372"/>
    <x v="371"/>
    <x v="372"/>
  </r>
  <r>
    <n v="1037"/>
    <x v="224"/>
    <x v="0"/>
    <x v="2"/>
    <x v="373"/>
    <x v="47"/>
    <x v="0"/>
    <n v="1941.56"/>
    <n v="2385.48"/>
    <x v="0"/>
    <n v="0.15"/>
    <x v="2"/>
    <x v="0"/>
    <s v="South-Bob"/>
    <x v="2"/>
    <x v="6"/>
    <x v="373"/>
    <x v="372"/>
    <x v="373"/>
  </r>
  <r>
    <n v="1024"/>
    <x v="195"/>
    <x v="3"/>
    <x v="2"/>
    <x v="374"/>
    <x v="2"/>
    <x v="1"/>
    <n v="1543.96"/>
    <n v="1558.87"/>
    <x v="0"/>
    <n v="0.28000000000000003"/>
    <x v="2"/>
    <x v="0"/>
    <s v="South-Eve"/>
    <x v="3"/>
    <x v="1"/>
    <x v="374"/>
    <x v="373"/>
    <x v="374"/>
  </r>
  <r>
    <n v="1093"/>
    <x v="11"/>
    <x v="1"/>
    <x v="1"/>
    <x v="375"/>
    <x v="32"/>
    <x v="1"/>
    <n v="235.12"/>
    <n v="677.5"/>
    <x v="0"/>
    <n v="0.16"/>
    <x v="2"/>
    <x v="0"/>
    <s v="West-David"/>
    <x v="3"/>
    <x v="4"/>
    <x v="375"/>
    <x v="374"/>
    <x v="375"/>
  </r>
  <r>
    <n v="1046"/>
    <x v="225"/>
    <x v="4"/>
    <x v="2"/>
    <x v="376"/>
    <x v="7"/>
    <x v="2"/>
    <n v="2551.56"/>
    <n v="2841.68"/>
    <x v="1"/>
    <n v="0.09"/>
    <x v="1"/>
    <x v="1"/>
    <s v="South-Alice"/>
    <x v="0"/>
    <x v="6"/>
    <x v="376"/>
    <x v="375"/>
    <x v="376"/>
  </r>
  <r>
    <n v="1053"/>
    <x v="226"/>
    <x v="0"/>
    <x v="0"/>
    <x v="377"/>
    <x v="16"/>
    <x v="0"/>
    <n v="2045"/>
    <n v="2217.5100000000002"/>
    <x v="0"/>
    <n v="0.08"/>
    <x v="2"/>
    <x v="0"/>
    <s v="North-Bob"/>
    <x v="9"/>
    <x v="1"/>
    <x v="377"/>
    <x v="376"/>
    <x v="377"/>
  </r>
  <r>
    <n v="1095"/>
    <x v="182"/>
    <x v="3"/>
    <x v="3"/>
    <x v="378"/>
    <x v="41"/>
    <x v="2"/>
    <n v="3191.05"/>
    <n v="3555.35"/>
    <x v="1"/>
    <n v="0.28000000000000003"/>
    <x v="2"/>
    <x v="0"/>
    <s v="East-Eve"/>
    <x v="9"/>
    <x v="0"/>
    <x v="378"/>
    <x v="377"/>
    <x v="378"/>
  </r>
  <r>
    <n v="1099"/>
    <x v="174"/>
    <x v="0"/>
    <x v="1"/>
    <x v="379"/>
    <x v="6"/>
    <x v="3"/>
    <n v="3124.87"/>
    <n v="3383.67"/>
    <x v="1"/>
    <n v="0.05"/>
    <x v="2"/>
    <x v="1"/>
    <s v="West-Bob"/>
    <x v="9"/>
    <x v="2"/>
    <x v="379"/>
    <x v="378"/>
    <x v="379"/>
  </r>
  <r>
    <n v="1060"/>
    <x v="227"/>
    <x v="4"/>
    <x v="2"/>
    <x v="380"/>
    <x v="18"/>
    <x v="3"/>
    <n v="647.70000000000005"/>
    <n v="902.26"/>
    <x v="1"/>
    <n v="0.17"/>
    <x v="1"/>
    <x v="0"/>
    <s v="South-Alice"/>
    <x v="7"/>
    <x v="2"/>
    <x v="380"/>
    <x v="379"/>
    <x v="380"/>
  </r>
  <r>
    <n v="1097"/>
    <x v="228"/>
    <x v="3"/>
    <x v="0"/>
    <x v="381"/>
    <x v="32"/>
    <x v="3"/>
    <n v="4885.9799999999996"/>
    <n v="4949.95"/>
    <x v="0"/>
    <n v="0.17"/>
    <x v="1"/>
    <x v="0"/>
    <s v="North-Eve"/>
    <x v="4"/>
    <x v="6"/>
    <x v="381"/>
    <x v="380"/>
    <x v="381"/>
  </r>
  <r>
    <n v="1063"/>
    <x v="166"/>
    <x v="0"/>
    <x v="3"/>
    <x v="382"/>
    <x v="5"/>
    <x v="3"/>
    <n v="975.31"/>
    <n v="1176.17"/>
    <x v="1"/>
    <n v="0.22"/>
    <x v="1"/>
    <x v="1"/>
    <s v="East-Bob"/>
    <x v="11"/>
    <x v="0"/>
    <x v="382"/>
    <x v="381"/>
    <x v="382"/>
  </r>
  <r>
    <n v="1085"/>
    <x v="189"/>
    <x v="2"/>
    <x v="3"/>
    <x v="383"/>
    <x v="31"/>
    <x v="2"/>
    <n v="2254.11"/>
    <n v="2382.23"/>
    <x v="0"/>
    <n v="0.15"/>
    <x v="2"/>
    <x v="1"/>
    <s v="East-Charlie"/>
    <x v="6"/>
    <x v="6"/>
    <x v="383"/>
    <x v="382"/>
    <x v="383"/>
  </r>
  <r>
    <n v="1032"/>
    <x v="211"/>
    <x v="4"/>
    <x v="1"/>
    <x v="384"/>
    <x v="0"/>
    <x v="3"/>
    <n v="2466.1799999999998"/>
    <n v="2483.87"/>
    <x v="0"/>
    <n v="0.08"/>
    <x v="0"/>
    <x v="0"/>
    <s v="West-Alice"/>
    <x v="1"/>
    <x v="5"/>
    <x v="384"/>
    <x v="383"/>
    <x v="384"/>
  </r>
  <r>
    <n v="1087"/>
    <x v="229"/>
    <x v="4"/>
    <x v="1"/>
    <x v="385"/>
    <x v="13"/>
    <x v="0"/>
    <n v="4074.66"/>
    <n v="4261.1099999999997"/>
    <x v="0"/>
    <n v="0.05"/>
    <x v="2"/>
    <x v="1"/>
    <s v="West-Alice"/>
    <x v="0"/>
    <x v="3"/>
    <x v="385"/>
    <x v="384"/>
    <x v="385"/>
  </r>
  <r>
    <n v="1033"/>
    <x v="186"/>
    <x v="4"/>
    <x v="1"/>
    <x v="386"/>
    <x v="11"/>
    <x v="1"/>
    <n v="541.19000000000005"/>
    <n v="595.20000000000005"/>
    <x v="0"/>
    <n v="0.19"/>
    <x v="2"/>
    <x v="0"/>
    <s v="West-Alice"/>
    <x v="3"/>
    <x v="1"/>
    <x v="386"/>
    <x v="385"/>
    <x v="386"/>
  </r>
  <r>
    <n v="1067"/>
    <x v="173"/>
    <x v="2"/>
    <x v="0"/>
    <x v="387"/>
    <x v="5"/>
    <x v="1"/>
    <n v="2171.79"/>
    <n v="2307.64"/>
    <x v="0"/>
    <n v="0.22"/>
    <x v="1"/>
    <x v="0"/>
    <s v="North-Charlie"/>
    <x v="10"/>
    <x v="4"/>
    <x v="387"/>
    <x v="386"/>
    <x v="387"/>
  </r>
  <r>
    <n v="1018"/>
    <x v="185"/>
    <x v="2"/>
    <x v="0"/>
    <x v="388"/>
    <x v="14"/>
    <x v="3"/>
    <n v="3161.09"/>
    <n v="3216.42"/>
    <x v="1"/>
    <n v="0.17"/>
    <x v="1"/>
    <x v="0"/>
    <s v="North-Charlie"/>
    <x v="3"/>
    <x v="2"/>
    <x v="388"/>
    <x v="387"/>
    <x v="388"/>
  </r>
  <r>
    <n v="1025"/>
    <x v="230"/>
    <x v="1"/>
    <x v="1"/>
    <x v="389"/>
    <x v="35"/>
    <x v="3"/>
    <n v="1115.02"/>
    <n v="1174.48"/>
    <x v="1"/>
    <n v="0.22"/>
    <x v="2"/>
    <x v="0"/>
    <s v="West-David"/>
    <x v="11"/>
    <x v="0"/>
    <x v="389"/>
    <x v="388"/>
    <x v="389"/>
  </r>
  <r>
    <n v="1095"/>
    <x v="137"/>
    <x v="0"/>
    <x v="2"/>
    <x v="390"/>
    <x v="15"/>
    <x v="3"/>
    <n v="3155.97"/>
    <n v="3263.49"/>
    <x v="0"/>
    <n v="0.04"/>
    <x v="2"/>
    <x v="0"/>
    <s v="South-Bob"/>
    <x v="1"/>
    <x v="3"/>
    <x v="390"/>
    <x v="389"/>
    <x v="390"/>
  </r>
  <r>
    <n v="1054"/>
    <x v="230"/>
    <x v="1"/>
    <x v="3"/>
    <x v="391"/>
    <x v="46"/>
    <x v="2"/>
    <n v="4622.1400000000003"/>
    <n v="5122.07"/>
    <x v="1"/>
    <n v="0.26"/>
    <x v="0"/>
    <x v="1"/>
    <s v="East-David"/>
    <x v="11"/>
    <x v="0"/>
    <x v="391"/>
    <x v="390"/>
    <x v="391"/>
  </r>
  <r>
    <n v="1058"/>
    <x v="107"/>
    <x v="0"/>
    <x v="3"/>
    <x v="392"/>
    <x v="32"/>
    <x v="1"/>
    <n v="4987.71"/>
    <n v="4998.78"/>
    <x v="0"/>
    <n v="0.17"/>
    <x v="0"/>
    <x v="1"/>
    <s v="East-Bob"/>
    <x v="5"/>
    <x v="2"/>
    <x v="392"/>
    <x v="391"/>
    <x v="392"/>
  </r>
  <r>
    <n v="1067"/>
    <x v="231"/>
    <x v="2"/>
    <x v="0"/>
    <x v="393"/>
    <x v="10"/>
    <x v="3"/>
    <n v="210.63"/>
    <n v="533.57999999999902"/>
    <x v="1"/>
    <n v="0.04"/>
    <x v="1"/>
    <x v="0"/>
    <s v="North-Charlie"/>
    <x v="5"/>
    <x v="4"/>
    <x v="393"/>
    <x v="392"/>
    <x v="393"/>
  </r>
  <r>
    <n v="1046"/>
    <x v="32"/>
    <x v="2"/>
    <x v="3"/>
    <x v="394"/>
    <x v="45"/>
    <x v="0"/>
    <n v="1216.1600000000001"/>
    <n v="1295.3699999999999"/>
    <x v="1"/>
    <n v="0.14000000000000001"/>
    <x v="0"/>
    <x v="1"/>
    <s v="East-Charlie"/>
    <x v="0"/>
    <x v="1"/>
    <x v="394"/>
    <x v="393"/>
    <x v="394"/>
  </r>
  <r>
    <n v="1024"/>
    <x v="104"/>
    <x v="1"/>
    <x v="2"/>
    <x v="395"/>
    <x v="31"/>
    <x v="3"/>
    <n v="1586.02"/>
    <n v="2047.13"/>
    <x v="1"/>
    <n v="0.25"/>
    <x v="0"/>
    <x v="1"/>
    <s v="South-David"/>
    <x v="3"/>
    <x v="0"/>
    <x v="395"/>
    <x v="394"/>
    <x v="395"/>
  </r>
  <r>
    <n v="1032"/>
    <x v="232"/>
    <x v="3"/>
    <x v="3"/>
    <x v="396"/>
    <x v="23"/>
    <x v="1"/>
    <n v="2025.67"/>
    <n v="2081.5500000000002"/>
    <x v="1"/>
    <n v="0.27"/>
    <x v="1"/>
    <x v="0"/>
    <s v="East-Eve"/>
    <x v="7"/>
    <x v="5"/>
    <x v="396"/>
    <x v="395"/>
    <x v="396"/>
  </r>
  <r>
    <n v="1047"/>
    <x v="197"/>
    <x v="1"/>
    <x v="0"/>
    <x v="397"/>
    <x v="8"/>
    <x v="3"/>
    <n v="1249.17"/>
    <n v="1727.15"/>
    <x v="1"/>
    <n v="0.08"/>
    <x v="0"/>
    <x v="1"/>
    <s v="North-David"/>
    <x v="9"/>
    <x v="4"/>
    <x v="397"/>
    <x v="396"/>
    <x v="397"/>
  </r>
  <r>
    <n v="1086"/>
    <x v="233"/>
    <x v="0"/>
    <x v="0"/>
    <x v="398"/>
    <x v="1"/>
    <x v="1"/>
    <n v="1057.27"/>
    <n v="1366.62"/>
    <x v="1"/>
    <n v="0.21"/>
    <x v="2"/>
    <x v="1"/>
    <s v="North-Bob"/>
    <x v="11"/>
    <x v="1"/>
    <x v="398"/>
    <x v="397"/>
    <x v="398"/>
  </r>
  <r>
    <n v="1023"/>
    <x v="234"/>
    <x v="1"/>
    <x v="2"/>
    <x v="399"/>
    <x v="5"/>
    <x v="3"/>
    <n v="4775.04"/>
    <n v="4785.66"/>
    <x v="1"/>
    <n v="0.03"/>
    <x v="0"/>
    <x v="0"/>
    <s v="South-David"/>
    <x v="2"/>
    <x v="5"/>
    <x v="399"/>
    <x v="398"/>
    <x v="399"/>
  </r>
  <r>
    <n v="1066"/>
    <x v="235"/>
    <x v="4"/>
    <x v="2"/>
    <x v="400"/>
    <x v="41"/>
    <x v="0"/>
    <n v="4596.68"/>
    <n v="5044.74"/>
    <x v="1"/>
    <n v="0.01"/>
    <x v="1"/>
    <x v="0"/>
    <s v="South-Alice"/>
    <x v="7"/>
    <x v="1"/>
    <x v="400"/>
    <x v="399"/>
    <x v="400"/>
  </r>
  <r>
    <n v="1027"/>
    <x v="236"/>
    <x v="0"/>
    <x v="3"/>
    <x v="401"/>
    <x v="41"/>
    <x v="3"/>
    <n v="282.61"/>
    <n v="548.25"/>
    <x v="1"/>
    <n v="0.17"/>
    <x v="2"/>
    <x v="0"/>
    <s v="East-Bob"/>
    <x v="3"/>
    <x v="6"/>
    <x v="401"/>
    <x v="400"/>
    <x v="401"/>
  </r>
  <r>
    <n v="1002"/>
    <x v="21"/>
    <x v="0"/>
    <x v="3"/>
    <x v="402"/>
    <x v="1"/>
    <x v="0"/>
    <n v="1727.12"/>
    <n v="1865.83"/>
    <x v="1"/>
    <n v="0.21"/>
    <x v="0"/>
    <x v="0"/>
    <s v="East-Bob"/>
    <x v="5"/>
    <x v="6"/>
    <x v="402"/>
    <x v="401"/>
    <x v="402"/>
  </r>
  <r>
    <n v="1090"/>
    <x v="168"/>
    <x v="3"/>
    <x v="0"/>
    <x v="403"/>
    <x v="36"/>
    <x v="0"/>
    <n v="2055.4899999999998"/>
    <n v="2441.46"/>
    <x v="1"/>
    <n v="0.24"/>
    <x v="2"/>
    <x v="0"/>
    <s v="North-Eve"/>
    <x v="6"/>
    <x v="2"/>
    <x v="403"/>
    <x v="402"/>
    <x v="403"/>
  </r>
  <r>
    <n v="1017"/>
    <x v="157"/>
    <x v="2"/>
    <x v="2"/>
    <x v="404"/>
    <x v="12"/>
    <x v="3"/>
    <n v="1233.1199999999999"/>
    <n v="1697.1899999999901"/>
    <x v="1"/>
    <n v="0.1"/>
    <x v="2"/>
    <x v="0"/>
    <s v="South-Charlie"/>
    <x v="5"/>
    <x v="5"/>
    <x v="404"/>
    <x v="403"/>
    <x v="404"/>
  </r>
  <r>
    <n v="1033"/>
    <x v="237"/>
    <x v="0"/>
    <x v="2"/>
    <x v="405"/>
    <x v="47"/>
    <x v="0"/>
    <n v="3162.92"/>
    <n v="3409.93"/>
    <x v="1"/>
    <n v="0"/>
    <x v="0"/>
    <x v="0"/>
    <s v="South-Bob"/>
    <x v="1"/>
    <x v="6"/>
    <x v="405"/>
    <x v="404"/>
    <x v="405"/>
  </r>
  <r>
    <n v="1009"/>
    <x v="238"/>
    <x v="2"/>
    <x v="2"/>
    <x v="406"/>
    <x v="5"/>
    <x v="2"/>
    <n v="3219.88"/>
    <n v="3384.5"/>
    <x v="0"/>
    <n v="0.14000000000000001"/>
    <x v="0"/>
    <x v="1"/>
    <s v="South-Charlie"/>
    <x v="1"/>
    <x v="2"/>
    <x v="406"/>
    <x v="405"/>
    <x v="406"/>
  </r>
  <r>
    <n v="1043"/>
    <x v="186"/>
    <x v="1"/>
    <x v="3"/>
    <x v="407"/>
    <x v="33"/>
    <x v="3"/>
    <n v="4260"/>
    <n v="4656.58"/>
    <x v="1"/>
    <n v="0"/>
    <x v="1"/>
    <x v="0"/>
    <s v="East-David"/>
    <x v="3"/>
    <x v="1"/>
    <x v="407"/>
    <x v="406"/>
    <x v="407"/>
  </r>
  <r>
    <n v="1048"/>
    <x v="62"/>
    <x v="4"/>
    <x v="2"/>
    <x v="408"/>
    <x v="32"/>
    <x v="3"/>
    <n v="3717.3"/>
    <n v="4061.37"/>
    <x v="1"/>
    <n v="0.03"/>
    <x v="1"/>
    <x v="1"/>
    <s v="South-Alice"/>
    <x v="7"/>
    <x v="0"/>
    <x v="408"/>
    <x v="407"/>
    <x v="408"/>
  </r>
  <r>
    <n v="1039"/>
    <x v="37"/>
    <x v="3"/>
    <x v="0"/>
    <x v="409"/>
    <x v="22"/>
    <x v="0"/>
    <n v="2735.74"/>
    <n v="3181.22999999999"/>
    <x v="1"/>
    <n v="0.1"/>
    <x v="2"/>
    <x v="1"/>
    <s v="North-Eve"/>
    <x v="4"/>
    <x v="1"/>
    <x v="409"/>
    <x v="408"/>
    <x v="409"/>
  </r>
  <r>
    <n v="1093"/>
    <x v="49"/>
    <x v="2"/>
    <x v="0"/>
    <x v="410"/>
    <x v="33"/>
    <x v="0"/>
    <n v="3285.25"/>
    <n v="3634.58"/>
    <x v="1"/>
    <n v="0.13"/>
    <x v="1"/>
    <x v="0"/>
    <s v="North-Charlie"/>
    <x v="8"/>
    <x v="6"/>
    <x v="410"/>
    <x v="409"/>
    <x v="410"/>
  </r>
  <r>
    <n v="1042"/>
    <x v="239"/>
    <x v="0"/>
    <x v="3"/>
    <x v="411"/>
    <x v="21"/>
    <x v="3"/>
    <n v="1406.24"/>
    <n v="1535.57"/>
    <x v="1"/>
    <n v="0.08"/>
    <x v="2"/>
    <x v="1"/>
    <s v="East-Bob"/>
    <x v="10"/>
    <x v="0"/>
    <x v="411"/>
    <x v="410"/>
    <x v="411"/>
  </r>
  <r>
    <n v="1026"/>
    <x v="173"/>
    <x v="2"/>
    <x v="1"/>
    <x v="412"/>
    <x v="46"/>
    <x v="2"/>
    <n v="2985.63"/>
    <n v="3452.14"/>
    <x v="1"/>
    <n v="0.17"/>
    <x v="2"/>
    <x v="1"/>
    <s v="West-Charlie"/>
    <x v="10"/>
    <x v="4"/>
    <x v="412"/>
    <x v="411"/>
    <x v="412"/>
  </r>
  <r>
    <n v="1099"/>
    <x v="240"/>
    <x v="0"/>
    <x v="3"/>
    <x v="413"/>
    <x v="33"/>
    <x v="0"/>
    <n v="2471.67"/>
    <n v="2533.04"/>
    <x v="0"/>
    <n v="0.02"/>
    <x v="1"/>
    <x v="1"/>
    <s v="East-Bob"/>
    <x v="9"/>
    <x v="1"/>
    <x v="413"/>
    <x v="412"/>
    <x v="413"/>
  </r>
  <r>
    <n v="1050"/>
    <x v="5"/>
    <x v="2"/>
    <x v="1"/>
    <x v="414"/>
    <x v="10"/>
    <x v="0"/>
    <n v="710.06"/>
    <n v="851.349999999999"/>
    <x v="0"/>
    <n v="0.04"/>
    <x v="1"/>
    <x v="0"/>
    <s v="West-Charlie"/>
    <x v="0"/>
    <x v="2"/>
    <x v="414"/>
    <x v="413"/>
    <x v="414"/>
  </r>
  <r>
    <n v="1025"/>
    <x v="64"/>
    <x v="0"/>
    <x v="2"/>
    <x v="415"/>
    <x v="23"/>
    <x v="1"/>
    <n v="1250.5899999999999"/>
    <n v="1515.48999999999"/>
    <x v="0"/>
    <n v="0.21"/>
    <x v="1"/>
    <x v="1"/>
    <s v="South-Bob"/>
    <x v="9"/>
    <x v="0"/>
    <x v="415"/>
    <x v="414"/>
    <x v="415"/>
  </r>
  <r>
    <n v="1024"/>
    <x v="241"/>
    <x v="1"/>
    <x v="3"/>
    <x v="416"/>
    <x v="4"/>
    <x v="2"/>
    <n v="1493.88"/>
    <n v="1781.09"/>
    <x v="1"/>
    <n v="0.04"/>
    <x v="0"/>
    <x v="1"/>
    <s v="East-David"/>
    <x v="0"/>
    <x v="0"/>
    <x v="416"/>
    <x v="415"/>
    <x v="416"/>
  </r>
  <r>
    <n v="1013"/>
    <x v="0"/>
    <x v="0"/>
    <x v="0"/>
    <x v="417"/>
    <x v="31"/>
    <x v="2"/>
    <n v="4625.33"/>
    <n v="4642.83"/>
    <x v="1"/>
    <n v="0.19"/>
    <x v="2"/>
    <x v="0"/>
    <s v="North-Bob"/>
    <x v="0"/>
    <x v="0"/>
    <x v="417"/>
    <x v="416"/>
    <x v="417"/>
  </r>
  <r>
    <n v="1060"/>
    <x v="172"/>
    <x v="0"/>
    <x v="2"/>
    <x v="418"/>
    <x v="45"/>
    <x v="3"/>
    <n v="1190.4100000000001"/>
    <n v="1582.89"/>
    <x v="1"/>
    <n v="0.02"/>
    <x v="2"/>
    <x v="1"/>
    <s v="South-Bob"/>
    <x v="5"/>
    <x v="3"/>
    <x v="418"/>
    <x v="417"/>
    <x v="418"/>
  </r>
  <r>
    <n v="1007"/>
    <x v="98"/>
    <x v="4"/>
    <x v="0"/>
    <x v="419"/>
    <x v="14"/>
    <x v="2"/>
    <n v="1481.76"/>
    <n v="1668.95"/>
    <x v="0"/>
    <n v="0.12"/>
    <x v="2"/>
    <x v="1"/>
    <s v="North-Alice"/>
    <x v="6"/>
    <x v="6"/>
    <x v="419"/>
    <x v="418"/>
    <x v="419"/>
  </r>
  <r>
    <n v="1057"/>
    <x v="115"/>
    <x v="0"/>
    <x v="2"/>
    <x v="420"/>
    <x v="26"/>
    <x v="3"/>
    <n v="1878.3"/>
    <n v="2087.4499999999998"/>
    <x v="1"/>
    <n v="0.05"/>
    <x v="1"/>
    <x v="1"/>
    <s v="South-Bob"/>
    <x v="6"/>
    <x v="0"/>
    <x v="420"/>
    <x v="419"/>
    <x v="420"/>
  </r>
  <r>
    <n v="1036"/>
    <x v="85"/>
    <x v="4"/>
    <x v="3"/>
    <x v="421"/>
    <x v="18"/>
    <x v="1"/>
    <n v="3335.53"/>
    <n v="3742.12"/>
    <x v="1"/>
    <n v="0.03"/>
    <x v="1"/>
    <x v="1"/>
    <s v="East-Alice"/>
    <x v="4"/>
    <x v="0"/>
    <x v="421"/>
    <x v="420"/>
    <x v="421"/>
  </r>
  <r>
    <n v="1045"/>
    <x v="202"/>
    <x v="3"/>
    <x v="1"/>
    <x v="422"/>
    <x v="28"/>
    <x v="2"/>
    <n v="635.28"/>
    <n v="831.13"/>
    <x v="0"/>
    <n v="0.17"/>
    <x v="1"/>
    <x v="1"/>
    <s v="West-Eve"/>
    <x v="4"/>
    <x v="3"/>
    <x v="422"/>
    <x v="421"/>
    <x v="422"/>
  </r>
  <r>
    <n v="1020"/>
    <x v="167"/>
    <x v="4"/>
    <x v="2"/>
    <x v="423"/>
    <x v="19"/>
    <x v="0"/>
    <n v="4772.03"/>
    <n v="4805.17"/>
    <x v="0"/>
    <n v="0.28000000000000003"/>
    <x v="1"/>
    <x v="0"/>
    <s v="South-Alice"/>
    <x v="1"/>
    <x v="1"/>
    <x v="423"/>
    <x v="422"/>
    <x v="423"/>
  </r>
  <r>
    <n v="1065"/>
    <x v="242"/>
    <x v="1"/>
    <x v="1"/>
    <x v="424"/>
    <x v="0"/>
    <x v="1"/>
    <n v="4334.58"/>
    <n v="4431.04"/>
    <x v="1"/>
    <n v="0.02"/>
    <x v="1"/>
    <x v="1"/>
    <s v="West-David"/>
    <x v="9"/>
    <x v="1"/>
    <x v="424"/>
    <x v="423"/>
    <x v="424"/>
  </r>
  <r>
    <n v="1008"/>
    <x v="182"/>
    <x v="4"/>
    <x v="2"/>
    <x v="425"/>
    <x v="37"/>
    <x v="3"/>
    <n v="2907.22"/>
    <n v="3385.6099999999901"/>
    <x v="1"/>
    <n v="0.13"/>
    <x v="0"/>
    <x v="0"/>
    <s v="South-Alice"/>
    <x v="9"/>
    <x v="0"/>
    <x v="425"/>
    <x v="424"/>
    <x v="425"/>
  </r>
  <r>
    <n v="1016"/>
    <x v="243"/>
    <x v="3"/>
    <x v="0"/>
    <x v="426"/>
    <x v="36"/>
    <x v="1"/>
    <n v="3386.49"/>
    <n v="3430.99"/>
    <x v="1"/>
    <n v="0.21"/>
    <x v="1"/>
    <x v="1"/>
    <s v="North-Eve"/>
    <x v="5"/>
    <x v="0"/>
    <x v="426"/>
    <x v="425"/>
    <x v="426"/>
  </r>
  <r>
    <n v="1014"/>
    <x v="163"/>
    <x v="1"/>
    <x v="0"/>
    <x v="427"/>
    <x v="14"/>
    <x v="3"/>
    <n v="132.47"/>
    <n v="316.39"/>
    <x v="1"/>
    <n v="0.14000000000000001"/>
    <x v="2"/>
    <x v="0"/>
    <s v="North-David"/>
    <x v="8"/>
    <x v="1"/>
    <x v="427"/>
    <x v="426"/>
    <x v="427"/>
  </r>
  <r>
    <n v="1076"/>
    <x v="155"/>
    <x v="2"/>
    <x v="2"/>
    <x v="428"/>
    <x v="18"/>
    <x v="1"/>
    <n v="1727.78"/>
    <n v="1984.34"/>
    <x v="0"/>
    <n v="0.24"/>
    <x v="1"/>
    <x v="0"/>
    <s v="South-Charlie"/>
    <x v="7"/>
    <x v="2"/>
    <x v="428"/>
    <x v="427"/>
    <x v="428"/>
  </r>
  <r>
    <n v="1087"/>
    <x v="39"/>
    <x v="2"/>
    <x v="1"/>
    <x v="429"/>
    <x v="15"/>
    <x v="3"/>
    <n v="3988.52"/>
    <n v="4240.2299999999996"/>
    <x v="1"/>
    <n v="0.05"/>
    <x v="2"/>
    <x v="0"/>
    <s v="West-Charlie"/>
    <x v="10"/>
    <x v="5"/>
    <x v="429"/>
    <x v="428"/>
    <x v="429"/>
  </r>
  <r>
    <n v="1015"/>
    <x v="244"/>
    <x v="4"/>
    <x v="3"/>
    <x v="430"/>
    <x v="12"/>
    <x v="2"/>
    <n v="433.54"/>
    <n v="445.48"/>
    <x v="1"/>
    <n v="0.28999999999999998"/>
    <x v="1"/>
    <x v="1"/>
    <s v="East-Alice"/>
    <x v="3"/>
    <x v="4"/>
    <x v="430"/>
    <x v="429"/>
    <x v="430"/>
  </r>
  <r>
    <n v="1092"/>
    <x v="74"/>
    <x v="4"/>
    <x v="3"/>
    <x v="431"/>
    <x v="20"/>
    <x v="0"/>
    <n v="1447.45"/>
    <n v="1703.02"/>
    <x v="0"/>
    <n v="0.12"/>
    <x v="1"/>
    <x v="1"/>
    <s v="East-Alice"/>
    <x v="6"/>
    <x v="2"/>
    <x v="431"/>
    <x v="430"/>
    <x v="431"/>
  </r>
  <r>
    <n v="1098"/>
    <x v="238"/>
    <x v="3"/>
    <x v="0"/>
    <x v="432"/>
    <x v="47"/>
    <x v="3"/>
    <n v="2947.22"/>
    <n v="3145.27"/>
    <x v="1"/>
    <n v="0.1"/>
    <x v="2"/>
    <x v="1"/>
    <s v="North-Eve"/>
    <x v="1"/>
    <x v="2"/>
    <x v="432"/>
    <x v="431"/>
    <x v="432"/>
  </r>
  <r>
    <n v="1066"/>
    <x v="245"/>
    <x v="3"/>
    <x v="3"/>
    <x v="433"/>
    <x v="20"/>
    <x v="1"/>
    <n v="1319.24"/>
    <n v="1805.56"/>
    <x v="1"/>
    <n v="0.26"/>
    <x v="2"/>
    <x v="1"/>
    <s v="East-Eve"/>
    <x v="2"/>
    <x v="4"/>
    <x v="433"/>
    <x v="432"/>
    <x v="433"/>
  </r>
  <r>
    <n v="1032"/>
    <x v="104"/>
    <x v="0"/>
    <x v="0"/>
    <x v="434"/>
    <x v="18"/>
    <x v="3"/>
    <n v="4673.1899999999996"/>
    <n v="4761.1799999999903"/>
    <x v="0"/>
    <n v="0.17"/>
    <x v="2"/>
    <x v="1"/>
    <s v="North-Bob"/>
    <x v="3"/>
    <x v="0"/>
    <x v="434"/>
    <x v="433"/>
    <x v="434"/>
  </r>
  <r>
    <n v="1087"/>
    <x v="117"/>
    <x v="3"/>
    <x v="3"/>
    <x v="435"/>
    <x v="2"/>
    <x v="3"/>
    <n v="698.74"/>
    <n v="882.28"/>
    <x v="0"/>
    <n v="0.15"/>
    <x v="2"/>
    <x v="0"/>
    <s v="East-Eve"/>
    <x v="8"/>
    <x v="5"/>
    <x v="435"/>
    <x v="434"/>
    <x v="435"/>
  </r>
  <r>
    <n v="1063"/>
    <x v="46"/>
    <x v="0"/>
    <x v="2"/>
    <x v="436"/>
    <x v="44"/>
    <x v="3"/>
    <n v="3997.1"/>
    <n v="4212.6499999999996"/>
    <x v="1"/>
    <n v="0.22"/>
    <x v="0"/>
    <x v="0"/>
    <s v="South-Bob"/>
    <x v="6"/>
    <x v="1"/>
    <x v="436"/>
    <x v="435"/>
    <x v="436"/>
  </r>
  <r>
    <n v="1086"/>
    <x v="246"/>
    <x v="1"/>
    <x v="0"/>
    <x v="437"/>
    <x v="40"/>
    <x v="1"/>
    <n v="2564.35"/>
    <n v="2765.79"/>
    <x v="0"/>
    <n v="0.17"/>
    <x v="2"/>
    <x v="0"/>
    <s v="North-David"/>
    <x v="11"/>
    <x v="5"/>
    <x v="437"/>
    <x v="436"/>
    <x v="437"/>
  </r>
  <r>
    <n v="1051"/>
    <x v="247"/>
    <x v="4"/>
    <x v="0"/>
    <x v="438"/>
    <x v="24"/>
    <x v="0"/>
    <n v="3764.14"/>
    <n v="4100.3999999999996"/>
    <x v="0"/>
    <n v="0.05"/>
    <x v="1"/>
    <x v="1"/>
    <s v="North-Alice"/>
    <x v="10"/>
    <x v="3"/>
    <x v="438"/>
    <x v="437"/>
    <x v="438"/>
  </r>
  <r>
    <n v="1025"/>
    <x v="248"/>
    <x v="1"/>
    <x v="2"/>
    <x v="439"/>
    <x v="27"/>
    <x v="2"/>
    <n v="1588.04"/>
    <n v="1703.6399999999901"/>
    <x v="1"/>
    <n v="0.2"/>
    <x v="1"/>
    <x v="1"/>
    <s v="South-David"/>
    <x v="0"/>
    <x v="6"/>
    <x v="439"/>
    <x v="438"/>
    <x v="439"/>
  </r>
  <r>
    <n v="1058"/>
    <x v="249"/>
    <x v="3"/>
    <x v="0"/>
    <x v="440"/>
    <x v="10"/>
    <x v="0"/>
    <n v="2596.7199999999998"/>
    <n v="2715.0499999999902"/>
    <x v="0"/>
    <n v="0.04"/>
    <x v="0"/>
    <x v="0"/>
    <s v="North-Eve"/>
    <x v="4"/>
    <x v="5"/>
    <x v="440"/>
    <x v="439"/>
    <x v="440"/>
  </r>
  <r>
    <n v="1063"/>
    <x v="75"/>
    <x v="1"/>
    <x v="3"/>
    <x v="441"/>
    <x v="20"/>
    <x v="3"/>
    <n v="4291.33"/>
    <n v="4658.6400000000003"/>
    <x v="1"/>
    <n v="0.24"/>
    <x v="2"/>
    <x v="1"/>
    <s v="East-David"/>
    <x v="10"/>
    <x v="6"/>
    <x v="441"/>
    <x v="440"/>
    <x v="441"/>
  </r>
  <r>
    <n v="1062"/>
    <x v="250"/>
    <x v="1"/>
    <x v="3"/>
    <x v="442"/>
    <x v="44"/>
    <x v="1"/>
    <n v="2361.0500000000002"/>
    <n v="2616.19"/>
    <x v="1"/>
    <n v="0.3"/>
    <x v="1"/>
    <x v="1"/>
    <s v="East-David"/>
    <x v="8"/>
    <x v="4"/>
    <x v="442"/>
    <x v="441"/>
    <x v="442"/>
  </r>
  <r>
    <n v="1022"/>
    <x v="147"/>
    <x v="1"/>
    <x v="0"/>
    <x v="443"/>
    <x v="15"/>
    <x v="0"/>
    <n v="1830.61"/>
    <n v="2044.04"/>
    <x v="1"/>
    <n v="0.11"/>
    <x v="0"/>
    <x v="0"/>
    <s v="North-David"/>
    <x v="9"/>
    <x v="0"/>
    <x v="443"/>
    <x v="442"/>
    <x v="443"/>
  </r>
  <r>
    <n v="1058"/>
    <x v="251"/>
    <x v="3"/>
    <x v="3"/>
    <x v="444"/>
    <x v="28"/>
    <x v="3"/>
    <n v="2703.97"/>
    <n v="2796.8799999999901"/>
    <x v="1"/>
    <n v="0.13"/>
    <x v="1"/>
    <x v="0"/>
    <s v="East-Eve"/>
    <x v="11"/>
    <x v="6"/>
    <x v="444"/>
    <x v="443"/>
    <x v="444"/>
  </r>
  <r>
    <n v="1058"/>
    <x v="252"/>
    <x v="1"/>
    <x v="1"/>
    <x v="445"/>
    <x v="31"/>
    <x v="2"/>
    <n v="3600.95"/>
    <n v="3702.8399999999901"/>
    <x v="0"/>
    <n v="0.01"/>
    <x v="0"/>
    <x v="1"/>
    <s v="West-David"/>
    <x v="8"/>
    <x v="0"/>
    <x v="445"/>
    <x v="444"/>
    <x v="445"/>
  </r>
  <r>
    <n v="1086"/>
    <x v="253"/>
    <x v="0"/>
    <x v="0"/>
    <x v="446"/>
    <x v="7"/>
    <x v="2"/>
    <n v="2245.64"/>
    <n v="2260.81"/>
    <x v="1"/>
    <n v="0"/>
    <x v="0"/>
    <x v="1"/>
    <s v="North-Bob"/>
    <x v="6"/>
    <x v="0"/>
    <x v="446"/>
    <x v="445"/>
    <x v="446"/>
  </r>
  <r>
    <n v="1049"/>
    <x v="138"/>
    <x v="3"/>
    <x v="2"/>
    <x v="447"/>
    <x v="2"/>
    <x v="2"/>
    <n v="4697.4399999999996"/>
    <n v="4752.24"/>
    <x v="1"/>
    <n v="0.28000000000000003"/>
    <x v="2"/>
    <x v="0"/>
    <s v="South-Eve"/>
    <x v="7"/>
    <x v="1"/>
    <x v="447"/>
    <x v="446"/>
    <x v="447"/>
  </r>
  <r>
    <n v="1052"/>
    <x v="9"/>
    <x v="1"/>
    <x v="1"/>
    <x v="448"/>
    <x v="36"/>
    <x v="3"/>
    <n v="1509.98"/>
    <n v="1792.83"/>
    <x v="1"/>
    <n v="0.04"/>
    <x v="0"/>
    <x v="1"/>
    <s v="West-David"/>
    <x v="7"/>
    <x v="4"/>
    <x v="448"/>
    <x v="447"/>
    <x v="448"/>
  </r>
  <r>
    <n v="1042"/>
    <x v="157"/>
    <x v="3"/>
    <x v="0"/>
    <x v="449"/>
    <x v="44"/>
    <x v="1"/>
    <n v="2403.54"/>
    <n v="2850.56"/>
    <x v="1"/>
    <n v="0.13"/>
    <x v="1"/>
    <x v="0"/>
    <s v="North-Eve"/>
    <x v="5"/>
    <x v="5"/>
    <x v="449"/>
    <x v="448"/>
    <x v="449"/>
  </r>
  <r>
    <n v="1070"/>
    <x v="165"/>
    <x v="2"/>
    <x v="2"/>
    <x v="450"/>
    <x v="28"/>
    <x v="0"/>
    <n v="3796.79"/>
    <n v="3947.5"/>
    <x v="0"/>
    <n v="0.24"/>
    <x v="1"/>
    <x v="0"/>
    <s v="South-Charlie"/>
    <x v="10"/>
    <x v="4"/>
    <x v="450"/>
    <x v="449"/>
    <x v="450"/>
  </r>
  <r>
    <n v="1015"/>
    <x v="91"/>
    <x v="0"/>
    <x v="3"/>
    <x v="451"/>
    <x v="22"/>
    <x v="2"/>
    <n v="3461.15"/>
    <n v="3631.75"/>
    <x v="0"/>
    <n v="0.27"/>
    <x v="2"/>
    <x v="0"/>
    <s v="East-Bob"/>
    <x v="2"/>
    <x v="5"/>
    <x v="451"/>
    <x v="450"/>
    <x v="451"/>
  </r>
  <r>
    <n v="1054"/>
    <x v="87"/>
    <x v="1"/>
    <x v="2"/>
    <x v="452"/>
    <x v="10"/>
    <x v="3"/>
    <n v="4325.0200000000004"/>
    <n v="4391.67"/>
    <x v="0"/>
    <n v="0.16"/>
    <x v="2"/>
    <x v="1"/>
    <s v="South-David"/>
    <x v="7"/>
    <x v="4"/>
    <x v="452"/>
    <x v="451"/>
    <x v="452"/>
  </r>
  <r>
    <n v="1060"/>
    <x v="142"/>
    <x v="2"/>
    <x v="1"/>
    <x v="453"/>
    <x v="24"/>
    <x v="3"/>
    <n v="4984.21"/>
    <n v="5184.6400000000003"/>
    <x v="1"/>
    <n v="0.17"/>
    <x v="0"/>
    <x v="0"/>
    <s v="West-Charlie"/>
    <x v="5"/>
    <x v="6"/>
    <x v="453"/>
    <x v="452"/>
    <x v="453"/>
  </r>
  <r>
    <n v="1097"/>
    <x v="254"/>
    <x v="2"/>
    <x v="3"/>
    <x v="454"/>
    <x v="15"/>
    <x v="0"/>
    <n v="2162.9499999999998"/>
    <n v="2191.1899999999901"/>
    <x v="0"/>
    <n v="0.2"/>
    <x v="2"/>
    <x v="0"/>
    <s v="East-Charlie"/>
    <x v="6"/>
    <x v="3"/>
    <x v="454"/>
    <x v="453"/>
    <x v="454"/>
  </r>
  <r>
    <n v="1008"/>
    <x v="55"/>
    <x v="3"/>
    <x v="0"/>
    <x v="455"/>
    <x v="22"/>
    <x v="2"/>
    <n v="600.20000000000005"/>
    <n v="1059.82"/>
    <x v="0"/>
    <n v="0.28999999999999998"/>
    <x v="1"/>
    <x v="1"/>
    <s v="North-Eve"/>
    <x v="1"/>
    <x v="5"/>
    <x v="455"/>
    <x v="454"/>
    <x v="455"/>
  </r>
  <r>
    <n v="1053"/>
    <x v="255"/>
    <x v="2"/>
    <x v="3"/>
    <x v="456"/>
    <x v="23"/>
    <x v="3"/>
    <n v="200.56"/>
    <n v="540.38"/>
    <x v="1"/>
    <n v="0.18"/>
    <x v="1"/>
    <x v="0"/>
    <s v="East-Charlie"/>
    <x v="11"/>
    <x v="1"/>
    <x v="456"/>
    <x v="455"/>
    <x v="456"/>
  </r>
  <r>
    <n v="1060"/>
    <x v="105"/>
    <x v="0"/>
    <x v="0"/>
    <x v="457"/>
    <x v="23"/>
    <x v="0"/>
    <n v="3648.04"/>
    <n v="4143.51"/>
    <x v="0"/>
    <n v="0.17"/>
    <x v="2"/>
    <x v="1"/>
    <s v="North-Bob"/>
    <x v="7"/>
    <x v="5"/>
    <x v="457"/>
    <x v="456"/>
    <x v="457"/>
  </r>
  <r>
    <n v="1005"/>
    <x v="256"/>
    <x v="0"/>
    <x v="0"/>
    <x v="458"/>
    <x v="9"/>
    <x v="1"/>
    <n v="4376.37"/>
    <n v="4818.95"/>
    <x v="1"/>
    <n v="0"/>
    <x v="2"/>
    <x v="1"/>
    <s v="North-Bob"/>
    <x v="3"/>
    <x v="5"/>
    <x v="458"/>
    <x v="457"/>
    <x v="458"/>
  </r>
  <r>
    <n v="1068"/>
    <x v="257"/>
    <x v="4"/>
    <x v="2"/>
    <x v="459"/>
    <x v="9"/>
    <x v="1"/>
    <n v="1142.53"/>
    <n v="1384.3"/>
    <x v="0"/>
    <n v="0.02"/>
    <x v="2"/>
    <x v="1"/>
    <s v="South-Alice"/>
    <x v="3"/>
    <x v="3"/>
    <x v="459"/>
    <x v="458"/>
    <x v="459"/>
  </r>
  <r>
    <n v="1006"/>
    <x v="250"/>
    <x v="0"/>
    <x v="2"/>
    <x v="460"/>
    <x v="33"/>
    <x v="1"/>
    <n v="834.32"/>
    <n v="1098.97"/>
    <x v="0"/>
    <n v="0.17"/>
    <x v="0"/>
    <x v="0"/>
    <s v="South-Bob"/>
    <x v="8"/>
    <x v="4"/>
    <x v="460"/>
    <x v="459"/>
    <x v="460"/>
  </r>
  <r>
    <n v="1096"/>
    <x v="238"/>
    <x v="2"/>
    <x v="2"/>
    <x v="461"/>
    <x v="27"/>
    <x v="2"/>
    <n v="357.92"/>
    <n v="461.3"/>
    <x v="0"/>
    <n v="0.28000000000000003"/>
    <x v="0"/>
    <x v="0"/>
    <s v="South-Charlie"/>
    <x v="1"/>
    <x v="2"/>
    <x v="461"/>
    <x v="460"/>
    <x v="461"/>
  </r>
  <r>
    <n v="1094"/>
    <x v="164"/>
    <x v="0"/>
    <x v="1"/>
    <x v="462"/>
    <x v="48"/>
    <x v="0"/>
    <n v="4122.38"/>
    <n v="4358.78"/>
    <x v="0"/>
    <n v="0.26"/>
    <x v="1"/>
    <x v="1"/>
    <s v="West-Bob"/>
    <x v="0"/>
    <x v="0"/>
    <x v="462"/>
    <x v="461"/>
    <x v="462"/>
  </r>
  <r>
    <n v="1047"/>
    <x v="1"/>
    <x v="3"/>
    <x v="1"/>
    <x v="463"/>
    <x v="1"/>
    <x v="0"/>
    <n v="1591.34"/>
    <n v="2043.82"/>
    <x v="1"/>
    <n v="0.28999999999999998"/>
    <x v="0"/>
    <x v="1"/>
    <s v="West-Eve"/>
    <x v="1"/>
    <x v="0"/>
    <x v="463"/>
    <x v="462"/>
    <x v="463"/>
  </r>
  <r>
    <n v="1099"/>
    <x v="26"/>
    <x v="4"/>
    <x v="2"/>
    <x v="464"/>
    <x v="39"/>
    <x v="3"/>
    <n v="2038.4"/>
    <n v="2073.3200000000002"/>
    <x v="1"/>
    <n v="0.16"/>
    <x v="0"/>
    <x v="1"/>
    <s v="South-Alice"/>
    <x v="6"/>
    <x v="1"/>
    <x v="464"/>
    <x v="463"/>
    <x v="464"/>
  </r>
  <r>
    <n v="1055"/>
    <x v="234"/>
    <x v="2"/>
    <x v="1"/>
    <x v="465"/>
    <x v="26"/>
    <x v="3"/>
    <n v="2538.61"/>
    <n v="2971.75"/>
    <x v="0"/>
    <n v="0.24"/>
    <x v="0"/>
    <x v="0"/>
    <s v="West-Charlie"/>
    <x v="2"/>
    <x v="5"/>
    <x v="465"/>
    <x v="464"/>
    <x v="465"/>
  </r>
  <r>
    <n v="1040"/>
    <x v="83"/>
    <x v="4"/>
    <x v="3"/>
    <x v="466"/>
    <x v="31"/>
    <x v="3"/>
    <n v="4205.29"/>
    <n v="4382.3500000000004"/>
    <x v="1"/>
    <n v="0.25"/>
    <x v="0"/>
    <x v="1"/>
    <s v="East-Alice"/>
    <x v="4"/>
    <x v="0"/>
    <x v="466"/>
    <x v="465"/>
    <x v="466"/>
  </r>
  <r>
    <n v="1052"/>
    <x v="258"/>
    <x v="2"/>
    <x v="3"/>
    <x v="467"/>
    <x v="0"/>
    <x v="0"/>
    <n v="3271.62"/>
    <n v="3722.38"/>
    <x v="0"/>
    <n v="0.19"/>
    <x v="1"/>
    <x v="1"/>
    <s v="East-Charlie"/>
    <x v="8"/>
    <x v="6"/>
    <x v="467"/>
    <x v="466"/>
    <x v="467"/>
  </r>
  <r>
    <n v="1016"/>
    <x v="15"/>
    <x v="3"/>
    <x v="1"/>
    <x v="468"/>
    <x v="23"/>
    <x v="3"/>
    <n v="3094.57"/>
    <n v="3565.6"/>
    <x v="0"/>
    <n v="0.1"/>
    <x v="2"/>
    <x v="1"/>
    <s v="West-Eve"/>
    <x v="7"/>
    <x v="4"/>
    <x v="468"/>
    <x v="467"/>
    <x v="468"/>
  </r>
  <r>
    <n v="1013"/>
    <x v="259"/>
    <x v="4"/>
    <x v="1"/>
    <x v="469"/>
    <x v="25"/>
    <x v="0"/>
    <n v="919.58"/>
    <n v="1258.3"/>
    <x v="0"/>
    <n v="0.14000000000000001"/>
    <x v="1"/>
    <x v="0"/>
    <s v="West-Alice"/>
    <x v="2"/>
    <x v="1"/>
    <x v="469"/>
    <x v="468"/>
    <x v="469"/>
  </r>
  <r>
    <n v="1030"/>
    <x v="33"/>
    <x v="1"/>
    <x v="3"/>
    <x v="470"/>
    <x v="37"/>
    <x v="0"/>
    <n v="2590.29"/>
    <n v="2925.86"/>
    <x v="0"/>
    <n v="0.26"/>
    <x v="0"/>
    <x v="1"/>
    <s v="East-David"/>
    <x v="0"/>
    <x v="5"/>
    <x v="470"/>
    <x v="469"/>
    <x v="470"/>
  </r>
  <r>
    <n v="1019"/>
    <x v="208"/>
    <x v="2"/>
    <x v="0"/>
    <x v="471"/>
    <x v="0"/>
    <x v="1"/>
    <n v="3591.14"/>
    <n v="3822.99"/>
    <x v="0"/>
    <n v="0.09"/>
    <x v="2"/>
    <x v="0"/>
    <s v="North-Charlie"/>
    <x v="3"/>
    <x v="5"/>
    <x v="471"/>
    <x v="470"/>
    <x v="471"/>
  </r>
  <r>
    <n v="1017"/>
    <x v="141"/>
    <x v="1"/>
    <x v="3"/>
    <x v="472"/>
    <x v="22"/>
    <x v="3"/>
    <n v="4867.6400000000003"/>
    <n v="5287.05"/>
    <x v="0"/>
    <n v="0.28000000000000003"/>
    <x v="2"/>
    <x v="0"/>
    <s v="East-David"/>
    <x v="10"/>
    <x v="5"/>
    <x v="472"/>
    <x v="471"/>
    <x v="472"/>
  </r>
  <r>
    <n v="1063"/>
    <x v="257"/>
    <x v="4"/>
    <x v="3"/>
    <x v="473"/>
    <x v="42"/>
    <x v="1"/>
    <n v="1046.96"/>
    <n v="1528.15"/>
    <x v="1"/>
    <n v="7.0000000000000007E-2"/>
    <x v="2"/>
    <x v="1"/>
    <s v="East-Alice"/>
    <x v="3"/>
    <x v="3"/>
    <x v="473"/>
    <x v="472"/>
    <x v="473"/>
  </r>
  <r>
    <n v="1019"/>
    <x v="169"/>
    <x v="1"/>
    <x v="1"/>
    <x v="474"/>
    <x v="25"/>
    <x v="2"/>
    <n v="97.24"/>
    <n v="487.03"/>
    <x v="1"/>
    <n v="0.22"/>
    <x v="1"/>
    <x v="1"/>
    <s v="West-David"/>
    <x v="2"/>
    <x v="0"/>
    <x v="474"/>
    <x v="473"/>
    <x v="474"/>
  </r>
  <r>
    <n v="1092"/>
    <x v="181"/>
    <x v="1"/>
    <x v="3"/>
    <x v="475"/>
    <x v="32"/>
    <x v="2"/>
    <n v="422.74"/>
    <n v="737.49"/>
    <x v="0"/>
    <n v="0.19"/>
    <x v="2"/>
    <x v="1"/>
    <s v="East-David"/>
    <x v="9"/>
    <x v="5"/>
    <x v="475"/>
    <x v="474"/>
    <x v="475"/>
  </r>
  <r>
    <n v="1058"/>
    <x v="13"/>
    <x v="4"/>
    <x v="1"/>
    <x v="476"/>
    <x v="16"/>
    <x v="2"/>
    <n v="1910.47"/>
    <n v="2217.8000000000002"/>
    <x v="1"/>
    <n v="0.22"/>
    <x v="1"/>
    <x v="0"/>
    <s v="West-Alice"/>
    <x v="9"/>
    <x v="5"/>
    <x v="476"/>
    <x v="475"/>
    <x v="476"/>
  </r>
  <r>
    <n v="1055"/>
    <x v="233"/>
    <x v="3"/>
    <x v="1"/>
    <x v="477"/>
    <x v="8"/>
    <x v="0"/>
    <n v="4111.7"/>
    <n v="4537.9399999999996"/>
    <x v="0"/>
    <n v="0.13"/>
    <x v="1"/>
    <x v="0"/>
    <s v="West-Eve"/>
    <x v="11"/>
    <x v="1"/>
    <x v="477"/>
    <x v="476"/>
    <x v="477"/>
  </r>
  <r>
    <n v="1090"/>
    <x v="168"/>
    <x v="1"/>
    <x v="2"/>
    <x v="478"/>
    <x v="20"/>
    <x v="0"/>
    <n v="85.35"/>
    <n v="360.539999999999"/>
    <x v="1"/>
    <n v="0.28000000000000003"/>
    <x v="0"/>
    <x v="0"/>
    <s v="South-David"/>
    <x v="6"/>
    <x v="2"/>
    <x v="478"/>
    <x v="477"/>
    <x v="478"/>
  </r>
  <r>
    <n v="1090"/>
    <x v="260"/>
    <x v="1"/>
    <x v="3"/>
    <x v="479"/>
    <x v="20"/>
    <x v="0"/>
    <n v="2310.8200000000002"/>
    <n v="2714.71"/>
    <x v="1"/>
    <n v="0.19"/>
    <x v="0"/>
    <x v="1"/>
    <s v="East-David"/>
    <x v="4"/>
    <x v="3"/>
    <x v="479"/>
    <x v="478"/>
    <x v="479"/>
  </r>
  <r>
    <n v="1062"/>
    <x v="233"/>
    <x v="3"/>
    <x v="0"/>
    <x v="480"/>
    <x v="10"/>
    <x v="3"/>
    <n v="1679.69"/>
    <n v="1939.04"/>
    <x v="1"/>
    <n v="0.09"/>
    <x v="2"/>
    <x v="0"/>
    <s v="North-Eve"/>
    <x v="11"/>
    <x v="1"/>
    <x v="480"/>
    <x v="479"/>
    <x v="480"/>
  </r>
  <r>
    <n v="1023"/>
    <x v="87"/>
    <x v="1"/>
    <x v="2"/>
    <x v="481"/>
    <x v="31"/>
    <x v="1"/>
    <n v="309.77999999999997"/>
    <n v="350.38"/>
    <x v="0"/>
    <n v="0.19"/>
    <x v="2"/>
    <x v="1"/>
    <s v="South-David"/>
    <x v="7"/>
    <x v="4"/>
    <x v="481"/>
    <x v="480"/>
    <x v="481"/>
  </r>
  <r>
    <n v="1009"/>
    <x v="172"/>
    <x v="1"/>
    <x v="1"/>
    <x v="482"/>
    <x v="26"/>
    <x v="0"/>
    <n v="2278.67"/>
    <n v="2476.8000000000002"/>
    <x v="1"/>
    <n v="0.09"/>
    <x v="0"/>
    <x v="1"/>
    <s v="West-David"/>
    <x v="5"/>
    <x v="3"/>
    <x v="482"/>
    <x v="481"/>
    <x v="482"/>
  </r>
  <r>
    <n v="1012"/>
    <x v="261"/>
    <x v="1"/>
    <x v="1"/>
    <x v="483"/>
    <x v="4"/>
    <x v="1"/>
    <n v="1311.01"/>
    <n v="1538.79"/>
    <x v="0"/>
    <n v="0.09"/>
    <x v="1"/>
    <x v="1"/>
    <s v="West-David"/>
    <x v="10"/>
    <x v="3"/>
    <x v="483"/>
    <x v="482"/>
    <x v="483"/>
  </r>
  <r>
    <n v="1001"/>
    <x v="262"/>
    <x v="0"/>
    <x v="0"/>
    <x v="484"/>
    <x v="41"/>
    <x v="1"/>
    <n v="1791.83"/>
    <n v="1871.22"/>
    <x v="0"/>
    <n v="0.12"/>
    <x v="1"/>
    <x v="0"/>
    <s v="North-Bob"/>
    <x v="3"/>
    <x v="2"/>
    <x v="484"/>
    <x v="483"/>
    <x v="484"/>
  </r>
  <r>
    <n v="1058"/>
    <x v="263"/>
    <x v="3"/>
    <x v="1"/>
    <x v="485"/>
    <x v="3"/>
    <x v="1"/>
    <n v="3542.8"/>
    <n v="3603.02"/>
    <x v="0"/>
    <n v="0.26"/>
    <x v="0"/>
    <x v="0"/>
    <s v="West-Eve"/>
    <x v="4"/>
    <x v="1"/>
    <x v="485"/>
    <x v="484"/>
    <x v="485"/>
  </r>
  <r>
    <n v="1001"/>
    <x v="106"/>
    <x v="1"/>
    <x v="3"/>
    <x v="486"/>
    <x v="39"/>
    <x v="3"/>
    <n v="2631.68"/>
    <n v="2904.06"/>
    <x v="1"/>
    <n v="0.15"/>
    <x v="1"/>
    <x v="0"/>
    <s v="East-David"/>
    <x v="1"/>
    <x v="0"/>
    <x v="486"/>
    <x v="485"/>
    <x v="486"/>
  </r>
  <r>
    <n v="1034"/>
    <x v="5"/>
    <x v="3"/>
    <x v="2"/>
    <x v="487"/>
    <x v="42"/>
    <x v="3"/>
    <n v="667"/>
    <n v="718.72"/>
    <x v="1"/>
    <n v="0.2"/>
    <x v="0"/>
    <x v="1"/>
    <s v="South-Eve"/>
    <x v="0"/>
    <x v="2"/>
    <x v="487"/>
    <x v="486"/>
    <x v="487"/>
  </r>
  <r>
    <n v="1096"/>
    <x v="170"/>
    <x v="2"/>
    <x v="1"/>
    <x v="488"/>
    <x v="30"/>
    <x v="2"/>
    <n v="4809"/>
    <n v="4967.4399999999996"/>
    <x v="1"/>
    <n v="0.12"/>
    <x v="0"/>
    <x v="0"/>
    <s v="West-Charlie"/>
    <x v="5"/>
    <x v="6"/>
    <x v="488"/>
    <x v="487"/>
    <x v="488"/>
  </r>
  <r>
    <n v="1048"/>
    <x v="118"/>
    <x v="2"/>
    <x v="1"/>
    <x v="489"/>
    <x v="30"/>
    <x v="2"/>
    <n v="3197.76"/>
    <n v="3572.61"/>
    <x v="0"/>
    <n v="0.08"/>
    <x v="2"/>
    <x v="0"/>
    <s v="West-Charlie"/>
    <x v="0"/>
    <x v="6"/>
    <x v="489"/>
    <x v="488"/>
    <x v="489"/>
  </r>
  <r>
    <n v="1089"/>
    <x v="96"/>
    <x v="1"/>
    <x v="0"/>
    <x v="490"/>
    <x v="13"/>
    <x v="1"/>
    <n v="3841.05"/>
    <n v="4323.62"/>
    <x v="0"/>
    <n v="0.28999999999999998"/>
    <x v="2"/>
    <x v="1"/>
    <s v="North-David"/>
    <x v="7"/>
    <x v="6"/>
    <x v="490"/>
    <x v="489"/>
    <x v="490"/>
  </r>
  <r>
    <n v="1001"/>
    <x v="198"/>
    <x v="3"/>
    <x v="3"/>
    <x v="491"/>
    <x v="29"/>
    <x v="2"/>
    <n v="442.11"/>
    <n v="803.87"/>
    <x v="1"/>
    <n v="0.18"/>
    <x v="0"/>
    <x v="1"/>
    <s v="East-Eve"/>
    <x v="10"/>
    <x v="1"/>
    <x v="491"/>
    <x v="490"/>
    <x v="491"/>
  </r>
  <r>
    <n v="1016"/>
    <x v="14"/>
    <x v="3"/>
    <x v="1"/>
    <x v="492"/>
    <x v="48"/>
    <x v="1"/>
    <n v="282.94"/>
    <n v="779.32999999999902"/>
    <x v="0"/>
    <n v="0.28000000000000003"/>
    <x v="2"/>
    <x v="0"/>
    <s v="West-Eve"/>
    <x v="3"/>
    <x v="1"/>
    <x v="492"/>
    <x v="491"/>
    <x v="492"/>
  </r>
  <r>
    <n v="1061"/>
    <x v="264"/>
    <x v="3"/>
    <x v="0"/>
    <x v="493"/>
    <x v="20"/>
    <x v="3"/>
    <n v="146.27000000000001"/>
    <n v="498.46"/>
    <x v="1"/>
    <n v="0.06"/>
    <x v="0"/>
    <x v="1"/>
    <s v="North-Eve"/>
    <x v="1"/>
    <x v="3"/>
    <x v="493"/>
    <x v="492"/>
    <x v="493"/>
  </r>
  <r>
    <n v="1064"/>
    <x v="72"/>
    <x v="0"/>
    <x v="1"/>
    <x v="494"/>
    <x v="7"/>
    <x v="3"/>
    <n v="984.53"/>
    <n v="1138.49"/>
    <x v="1"/>
    <n v="0.04"/>
    <x v="1"/>
    <x v="0"/>
    <s v="West-Bob"/>
    <x v="6"/>
    <x v="6"/>
    <x v="494"/>
    <x v="493"/>
    <x v="494"/>
  </r>
  <r>
    <n v="1063"/>
    <x v="265"/>
    <x v="2"/>
    <x v="0"/>
    <x v="495"/>
    <x v="11"/>
    <x v="3"/>
    <n v="2101.3200000000002"/>
    <n v="2440.63"/>
    <x v="1"/>
    <n v="0.26"/>
    <x v="1"/>
    <x v="1"/>
    <s v="North-Charlie"/>
    <x v="1"/>
    <x v="6"/>
    <x v="495"/>
    <x v="494"/>
    <x v="495"/>
  </r>
  <r>
    <n v="1069"/>
    <x v="266"/>
    <x v="3"/>
    <x v="0"/>
    <x v="496"/>
    <x v="26"/>
    <x v="0"/>
    <n v="4682.34"/>
    <n v="5036.3999999999996"/>
    <x v="1"/>
    <n v="0.2"/>
    <x v="1"/>
    <x v="1"/>
    <s v="North-Eve"/>
    <x v="9"/>
    <x v="6"/>
    <x v="496"/>
    <x v="495"/>
    <x v="496"/>
  </r>
  <r>
    <n v="1022"/>
    <x v="267"/>
    <x v="3"/>
    <x v="3"/>
    <x v="497"/>
    <x v="4"/>
    <x v="1"/>
    <n v="2312.4499999999998"/>
    <n v="2504.6"/>
    <x v="0"/>
    <n v="0.06"/>
    <x v="1"/>
    <x v="0"/>
    <s v="East-Eve"/>
    <x v="5"/>
    <x v="1"/>
    <x v="497"/>
    <x v="496"/>
    <x v="497"/>
  </r>
  <r>
    <n v="1093"/>
    <x v="51"/>
    <x v="0"/>
    <x v="1"/>
    <x v="498"/>
    <x v="8"/>
    <x v="3"/>
    <n v="1486.76"/>
    <n v="1505.44"/>
    <x v="1"/>
    <n v="0.08"/>
    <x v="0"/>
    <x v="1"/>
    <s v="West-Bob"/>
    <x v="7"/>
    <x v="4"/>
    <x v="498"/>
    <x v="497"/>
    <x v="498"/>
  </r>
  <r>
    <n v="1067"/>
    <x v="6"/>
    <x v="0"/>
    <x v="3"/>
    <x v="499"/>
    <x v="1"/>
    <x v="1"/>
    <n v="2831.58"/>
    <n v="3186.15"/>
    <x v="1"/>
    <n v="0.24"/>
    <x v="1"/>
    <x v="1"/>
    <s v="East-Bob"/>
    <x v="1"/>
    <x v="3"/>
    <x v="499"/>
    <x v="498"/>
    <x v="499"/>
  </r>
  <r>
    <n v="1076"/>
    <x v="268"/>
    <x v="3"/>
    <x v="0"/>
    <x v="500"/>
    <x v="1"/>
    <x v="2"/>
    <n v="604.08000000000004"/>
    <n v="624.71"/>
    <x v="1"/>
    <n v="0.14000000000000001"/>
    <x v="1"/>
    <x v="1"/>
    <s v="North-Eve"/>
    <x v="0"/>
    <x v="4"/>
    <x v="500"/>
    <x v="499"/>
    <x v="500"/>
  </r>
  <r>
    <n v="1026"/>
    <x v="82"/>
    <x v="4"/>
    <x v="2"/>
    <x v="501"/>
    <x v="43"/>
    <x v="2"/>
    <n v="3067.05"/>
    <n v="3386.33"/>
    <x v="1"/>
    <n v="0.2"/>
    <x v="1"/>
    <x v="0"/>
    <s v="South-Alice"/>
    <x v="8"/>
    <x v="6"/>
    <x v="501"/>
    <x v="500"/>
    <x v="501"/>
  </r>
  <r>
    <n v="1016"/>
    <x v="172"/>
    <x v="3"/>
    <x v="1"/>
    <x v="502"/>
    <x v="9"/>
    <x v="3"/>
    <n v="2863.74"/>
    <n v="2953.91"/>
    <x v="1"/>
    <n v="0.1"/>
    <x v="1"/>
    <x v="1"/>
    <s v="West-Eve"/>
    <x v="5"/>
    <x v="3"/>
    <x v="502"/>
    <x v="501"/>
    <x v="502"/>
  </r>
  <r>
    <n v="1051"/>
    <x v="128"/>
    <x v="3"/>
    <x v="2"/>
    <x v="503"/>
    <x v="29"/>
    <x v="1"/>
    <n v="3970.37"/>
    <n v="4257.5199999999904"/>
    <x v="1"/>
    <n v="0.11"/>
    <x v="0"/>
    <x v="1"/>
    <s v="South-Eve"/>
    <x v="8"/>
    <x v="5"/>
    <x v="503"/>
    <x v="502"/>
    <x v="503"/>
  </r>
  <r>
    <n v="1086"/>
    <x v="269"/>
    <x v="0"/>
    <x v="1"/>
    <x v="504"/>
    <x v="47"/>
    <x v="3"/>
    <n v="4934.1000000000004"/>
    <n v="5191.0200000000004"/>
    <x v="1"/>
    <n v="0.3"/>
    <x v="1"/>
    <x v="0"/>
    <s v="West-Bob"/>
    <x v="0"/>
    <x v="5"/>
    <x v="504"/>
    <x v="503"/>
    <x v="504"/>
  </r>
  <r>
    <n v="1057"/>
    <x v="27"/>
    <x v="0"/>
    <x v="3"/>
    <x v="505"/>
    <x v="42"/>
    <x v="2"/>
    <n v="1291.82"/>
    <n v="1308.4399999999901"/>
    <x v="0"/>
    <n v="7.0000000000000007E-2"/>
    <x v="2"/>
    <x v="0"/>
    <s v="East-Bob"/>
    <x v="8"/>
    <x v="3"/>
    <x v="505"/>
    <x v="504"/>
    <x v="505"/>
  </r>
  <r>
    <n v="1029"/>
    <x v="131"/>
    <x v="3"/>
    <x v="3"/>
    <x v="506"/>
    <x v="25"/>
    <x v="3"/>
    <n v="2572.8000000000002"/>
    <n v="2760.6"/>
    <x v="0"/>
    <n v="0.15"/>
    <x v="2"/>
    <x v="1"/>
    <s v="East-Eve"/>
    <x v="7"/>
    <x v="4"/>
    <x v="506"/>
    <x v="505"/>
    <x v="506"/>
  </r>
  <r>
    <n v="1078"/>
    <x v="267"/>
    <x v="3"/>
    <x v="3"/>
    <x v="507"/>
    <x v="43"/>
    <x v="1"/>
    <n v="4548.88"/>
    <n v="4853.41"/>
    <x v="0"/>
    <n v="0.25"/>
    <x v="2"/>
    <x v="1"/>
    <s v="East-Eve"/>
    <x v="5"/>
    <x v="1"/>
    <x v="507"/>
    <x v="506"/>
    <x v="507"/>
  </r>
  <r>
    <n v="1092"/>
    <x v="24"/>
    <x v="3"/>
    <x v="3"/>
    <x v="508"/>
    <x v="40"/>
    <x v="2"/>
    <n v="3936.69"/>
    <n v="4362.51"/>
    <x v="0"/>
    <n v="7.0000000000000007E-2"/>
    <x v="2"/>
    <x v="1"/>
    <s v="East-Eve"/>
    <x v="8"/>
    <x v="3"/>
    <x v="508"/>
    <x v="507"/>
    <x v="508"/>
  </r>
  <r>
    <n v="1069"/>
    <x v="270"/>
    <x v="0"/>
    <x v="3"/>
    <x v="509"/>
    <x v="6"/>
    <x v="0"/>
    <n v="2462.66"/>
    <n v="2908.0899999999901"/>
    <x v="1"/>
    <n v="0.12"/>
    <x v="2"/>
    <x v="0"/>
    <s v="East-Bob"/>
    <x v="4"/>
    <x v="3"/>
    <x v="509"/>
    <x v="508"/>
    <x v="509"/>
  </r>
  <r>
    <n v="1047"/>
    <x v="133"/>
    <x v="3"/>
    <x v="2"/>
    <x v="510"/>
    <x v="20"/>
    <x v="2"/>
    <n v="4729.59"/>
    <n v="4976.68"/>
    <x v="0"/>
    <n v="0.18"/>
    <x v="2"/>
    <x v="1"/>
    <s v="South-Eve"/>
    <x v="3"/>
    <x v="0"/>
    <x v="510"/>
    <x v="509"/>
    <x v="510"/>
  </r>
  <r>
    <n v="1094"/>
    <x v="100"/>
    <x v="3"/>
    <x v="3"/>
    <x v="511"/>
    <x v="26"/>
    <x v="0"/>
    <n v="333.32"/>
    <n v="700.25"/>
    <x v="0"/>
    <n v="0.14000000000000001"/>
    <x v="0"/>
    <x v="0"/>
    <s v="East-Eve"/>
    <x v="9"/>
    <x v="3"/>
    <x v="511"/>
    <x v="510"/>
    <x v="511"/>
  </r>
  <r>
    <n v="1062"/>
    <x v="2"/>
    <x v="1"/>
    <x v="0"/>
    <x v="512"/>
    <x v="35"/>
    <x v="3"/>
    <n v="4658.4399999999996"/>
    <n v="4823.5"/>
    <x v="0"/>
    <n v="0.14000000000000001"/>
    <x v="2"/>
    <x v="0"/>
    <s v="North-David"/>
    <x v="2"/>
    <x v="1"/>
    <x v="512"/>
    <x v="511"/>
    <x v="512"/>
  </r>
  <r>
    <n v="1069"/>
    <x v="165"/>
    <x v="4"/>
    <x v="0"/>
    <x v="513"/>
    <x v="2"/>
    <x v="3"/>
    <n v="300.01"/>
    <n v="477.67999999999898"/>
    <x v="1"/>
    <n v="0.11"/>
    <x v="1"/>
    <x v="1"/>
    <s v="North-Alice"/>
    <x v="10"/>
    <x v="4"/>
    <x v="513"/>
    <x v="512"/>
    <x v="513"/>
  </r>
  <r>
    <n v="1076"/>
    <x v="228"/>
    <x v="2"/>
    <x v="2"/>
    <x v="514"/>
    <x v="18"/>
    <x v="1"/>
    <n v="2759.16"/>
    <n v="2864.45"/>
    <x v="0"/>
    <n v="0.18"/>
    <x v="2"/>
    <x v="1"/>
    <s v="South-Charlie"/>
    <x v="4"/>
    <x v="6"/>
    <x v="514"/>
    <x v="513"/>
    <x v="514"/>
  </r>
  <r>
    <n v="1016"/>
    <x v="186"/>
    <x v="4"/>
    <x v="1"/>
    <x v="515"/>
    <x v="25"/>
    <x v="0"/>
    <n v="4457.68"/>
    <n v="4743.03"/>
    <x v="0"/>
    <n v="0.19"/>
    <x v="0"/>
    <x v="0"/>
    <s v="West-Alice"/>
    <x v="3"/>
    <x v="1"/>
    <x v="515"/>
    <x v="514"/>
    <x v="515"/>
  </r>
  <r>
    <n v="1090"/>
    <x v="18"/>
    <x v="1"/>
    <x v="0"/>
    <x v="516"/>
    <x v="28"/>
    <x v="3"/>
    <n v="1350.47"/>
    <n v="1514.61"/>
    <x v="1"/>
    <n v="0.2"/>
    <x v="2"/>
    <x v="1"/>
    <s v="North-David"/>
    <x v="11"/>
    <x v="4"/>
    <x v="516"/>
    <x v="515"/>
    <x v="516"/>
  </r>
  <r>
    <n v="1090"/>
    <x v="144"/>
    <x v="2"/>
    <x v="1"/>
    <x v="517"/>
    <x v="15"/>
    <x v="0"/>
    <n v="2387.63"/>
    <n v="2438.9699999999998"/>
    <x v="0"/>
    <n v="0.02"/>
    <x v="1"/>
    <x v="1"/>
    <s v="West-Charlie"/>
    <x v="11"/>
    <x v="6"/>
    <x v="517"/>
    <x v="516"/>
    <x v="517"/>
  </r>
  <r>
    <n v="1048"/>
    <x v="170"/>
    <x v="3"/>
    <x v="2"/>
    <x v="518"/>
    <x v="48"/>
    <x v="3"/>
    <n v="1655.43"/>
    <n v="2001.08"/>
    <x v="1"/>
    <n v="0.19"/>
    <x v="1"/>
    <x v="0"/>
    <s v="South-Eve"/>
    <x v="5"/>
    <x v="6"/>
    <x v="518"/>
    <x v="517"/>
    <x v="518"/>
  </r>
  <r>
    <n v="1085"/>
    <x v="103"/>
    <x v="1"/>
    <x v="1"/>
    <x v="519"/>
    <x v="27"/>
    <x v="2"/>
    <n v="4763.1099999999997"/>
    <n v="5119.91"/>
    <x v="0"/>
    <n v="0.28999999999999998"/>
    <x v="0"/>
    <x v="1"/>
    <s v="West-David"/>
    <x v="4"/>
    <x v="1"/>
    <x v="519"/>
    <x v="518"/>
    <x v="519"/>
  </r>
  <r>
    <n v="1039"/>
    <x v="245"/>
    <x v="3"/>
    <x v="1"/>
    <x v="520"/>
    <x v="35"/>
    <x v="3"/>
    <n v="4127.05"/>
    <n v="4313.45"/>
    <x v="1"/>
    <n v="0.16"/>
    <x v="0"/>
    <x v="0"/>
    <s v="West-Eve"/>
    <x v="2"/>
    <x v="4"/>
    <x v="520"/>
    <x v="519"/>
    <x v="520"/>
  </r>
  <r>
    <n v="1100"/>
    <x v="114"/>
    <x v="0"/>
    <x v="1"/>
    <x v="521"/>
    <x v="6"/>
    <x v="1"/>
    <n v="3559.56"/>
    <n v="3607.15"/>
    <x v="0"/>
    <n v="0.21"/>
    <x v="0"/>
    <x v="1"/>
    <s v="West-Bob"/>
    <x v="10"/>
    <x v="3"/>
    <x v="521"/>
    <x v="520"/>
    <x v="521"/>
  </r>
  <r>
    <n v="1033"/>
    <x v="229"/>
    <x v="1"/>
    <x v="1"/>
    <x v="522"/>
    <x v="45"/>
    <x v="2"/>
    <n v="2958.75"/>
    <n v="3177.64"/>
    <x v="0"/>
    <n v="0.17"/>
    <x v="0"/>
    <x v="0"/>
    <s v="West-David"/>
    <x v="0"/>
    <x v="3"/>
    <x v="522"/>
    <x v="521"/>
    <x v="522"/>
  </r>
  <r>
    <n v="1094"/>
    <x v="13"/>
    <x v="0"/>
    <x v="2"/>
    <x v="523"/>
    <x v="13"/>
    <x v="1"/>
    <n v="4111.93"/>
    <n v="4338.67"/>
    <x v="0"/>
    <n v="0.26"/>
    <x v="2"/>
    <x v="0"/>
    <s v="South-Bob"/>
    <x v="9"/>
    <x v="5"/>
    <x v="523"/>
    <x v="522"/>
    <x v="523"/>
  </r>
  <r>
    <n v="1023"/>
    <x v="45"/>
    <x v="1"/>
    <x v="0"/>
    <x v="524"/>
    <x v="43"/>
    <x v="2"/>
    <n v="1991.72"/>
    <n v="2329.37"/>
    <x v="1"/>
    <n v="0.28000000000000003"/>
    <x v="2"/>
    <x v="1"/>
    <s v="North-David"/>
    <x v="5"/>
    <x v="1"/>
    <x v="524"/>
    <x v="523"/>
    <x v="524"/>
  </r>
  <r>
    <n v="1010"/>
    <x v="57"/>
    <x v="1"/>
    <x v="3"/>
    <x v="525"/>
    <x v="20"/>
    <x v="0"/>
    <n v="2265.38"/>
    <n v="2429.9299999999998"/>
    <x v="0"/>
    <n v="0.06"/>
    <x v="1"/>
    <x v="0"/>
    <s v="East-David"/>
    <x v="0"/>
    <x v="1"/>
    <x v="525"/>
    <x v="524"/>
    <x v="525"/>
  </r>
  <r>
    <n v="1069"/>
    <x v="108"/>
    <x v="0"/>
    <x v="1"/>
    <x v="526"/>
    <x v="7"/>
    <x v="1"/>
    <n v="3663.51"/>
    <n v="4007.98"/>
    <x v="1"/>
    <n v="0.13"/>
    <x v="0"/>
    <x v="0"/>
    <s v="West-Bob"/>
    <x v="7"/>
    <x v="5"/>
    <x v="526"/>
    <x v="525"/>
    <x v="526"/>
  </r>
  <r>
    <n v="1100"/>
    <x v="199"/>
    <x v="2"/>
    <x v="0"/>
    <x v="527"/>
    <x v="12"/>
    <x v="3"/>
    <n v="1820.89"/>
    <n v="2257.92"/>
    <x v="1"/>
    <n v="0.12"/>
    <x v="0"/>
    <x v="1"/>
    <s v="North-Charlie"/>
    <x v="2"/>
    <x v="2"/>
    <x v="527"/>
    <x v="526"/>
    <x v="527"/>
  </r>
  <r>
    <n v="1034"/>
    <x v="271"/>
    <x v="4"/>
    <x v="0"/>
    <x v="528"/>
    <x v="4"/>
    <x v="0"/>
    <n v="366.31"/>
    <n v="492.68"/>
    <x v="1"/>
    <n v="0.12"/>
    <x v="2"/>
    <x v="1"/>
    <s v="North-Alice"/>
    <x v="5"/>
    <x v="4"/>
    <x v="528"/>
    <x v="527"/>
    <x v="528"/>
  </r>
  <r>
    <n v="1052"/>
    <x v="272"/>
    <x v="3"/>
    <x v="2"/>
    <x v="529"/>
    <x v="31"/>
    <x v="3"/>
    <n v="417.96"/>
    <n v="907.63"/>
    <x v="1"/>
    <n v="0.04"/>
    <x v="0"/>
    <x v="1"/>
    <s v="South-Eve"/>
    <x v="11"/>
    <x v="3"/>
    <x v="529"/>
    <x v="528"/>
    <x v="529"/>
  </r>
  <r>
    <n v="1095"/>
    <x v="9"/>
    <x v="1"/>
    <x v="0"/>
    <x v="530"/>
    <x v="9"/>
    <x v="2"/>
    <n v="621.04999999999995"/>
    <n v="820.36999999999898"/>
    <x v="0"/>
    <n v="0.24"/>
    <x v="1"/>
    <x v="0"/>
    <s v="North-David"/>
    <x v="7"/>
    <x v="4"/>
    <x v="530"/>
    <x v="529"/>
    <x v="530"/>
  </r>
  <r>
    <n v="1010"/>
    <x v="126"/>
    <x v="3"/>
    <x v="2"/>
    <x v="531"/>
    <x v="35"/>
    <x v="2"/>
    <n v="4354.92"/>
    <n v="4495.88"/>
    <x v="0"/>
    <n v="0.01"/>
    <x v="1"/>
    <x v="0"/>
    <s v="South-Eve"/>
    <x v="4"/>
    <x v="4"/>
    <x v="531"/>
    <x v="530"/>
    <x v="531"/>
  </r>
  <r>
    <n v="1019"/>
    <x v="259"/>
    <x v="0"/>
    <x v="1"/>
    <x v="532"/>
    <x v="30"/>
    <x v="3"/>
    <n v="2387.52"/>
    <n v="2604.06"/>
    <x v="0"/>
    <n v="0.16"/>
    <x v="0"/>
    <x v="0"/>
    <s v="West-Bob"/>
    <x v="2"/>
    <x v="1"/>
    <x v="532"/>
    <x v="531"/>
    <x v="532"/>
  </r>
  <r>
    <n v="1058"/>
    <x v="93"/>
    <x v="3"/>
    <x v="1"/>
    <x v="533"/>
    <x v="6"/>
    <x v="3"/>
    <n v="3578.77"/>
    <n v="3635.02"/>
    <x v="1"/>
    <n v="0.2"/>
    <x v="1"/>
    <x v="1"/>
    <s v="West-Eve"/>
    <x v="2"/>
    <x v="6"/>
    <x v="533"/>
    <x v="532"/>
    <x v="533"/>
  </r>
  <r>
    <n v="1096"/>
    <x v="38"/>
    <x v="0"/>
    <x v="3"/>
    <x v="534"/>
    <x v="46"/>
    <x v="0"/>
    <n v="1994.9"/>
    <n v="2066.5"/>
    <x v="0"/>
    <n v="0.06"/>
    <x v="1"/>
    <x v="0"/>
    <s v="East-Bob"/>
    <x v="9"/>
    <x v="0"/>
    <x v="534"/>
    <x v="533"/>
    <x v="534"/>
  </r>
  <r>
    <n v="1001"/>
    <x v="167"/>
    <x v="3"/>
    <x v="3"/>
    <x v="535"/>
    <x v="44"/>
    <x v="3"/>
    <n v="1330.62"/>
    <n v="1543.6899999999901"/>
    <x v="1"/>
    <n v="0.27"/>
    <x v="2"/>
    <x v="0"/>
    <s v="East-Eve"/>
    <x v="1"/>
    <x v="1"/>
    <x v="535"/>
    <x v="534"/>
    <x v="535"/>
  </r>
  <r>
    <n v="1069"/>
    <x v="212"/>
    <x v="4"/>
    <x v="3"/>
    <x v="536"/>
    <x v="32"/>
    <x v="1"/>
    <n v="1768.6"/>
    <n v="2152.1999999999998"/>
    <x v="1"/>
    <n v="0.25"/>
    <x v="1"/>
    <x v="1"/>
    <s v="East-Alice"/>
    <x v="5"/>
    <x v="2"/>
    <x v="536"/>
    <x v="535"/>
    <x v="536"/>
  </r>
  <r>
    <n v="1004"/>
    <x v="28"/>
    <x v="4"/>
    <x v="0"/>
    <x v="537"/>
    <x v="43"/>
    <x v="1"/>
    <n v="3981.2"/>
    <n v="4432.3499999999904"/>
    <x v="1"/>
    <n v="0.14000000000000001"/>
    <x v="0"/>
    <x v="0"/>
    <s v="North-Alice"/>
    <x v="10"/>
    <x v="6"/>
    <x v="537"/>
    <x v="536"/>
    <x v="537"/>
  </r>
  <r>
    <n v="1016"/>
    <x v="273"/>
    <x v="4"/>
    <x v="1"/>
    <x v="538"/>
    <x v="39"/>
    <x v="3"/>
    <n v="3144.82"/>
    <n v="3480.58"/>
    <x v="0"/>
    <n v="0.12"/>
    <x v="0"/>
    <x v="1"/>
    <s v="West-Alice"/>
    <x v="6"/>
    <x v="5"/>
    <x v="538"/>
    <x v="537"/>
    <x v="538"/>
  </r>
  <r>
    <n v="1024"/>
    <x v="90"/>
    <x v="4"/>
    <x v="2"/>
    <x v="539"/>
    <x v="33"/>
    <x v="1"/>
    <n v="4691.32"/>
    <n v="4752.88"/>
    <x v="0"/>
    <n v="7.0000000000000007E-2"/>
    <x v="1"/>
    <x v="1"/>
    <s v="South-Alice"/>
    <x v="8"/>
    <x v="0"/>
    <x v="539"/>
    <x v="538"/>
    <x v="539"/>
  </r>
  <r>
    <n v="1080"/>
    <x v="12"/>
    <x v="4"/>
    <x v="3"/>
    <x v="540"/>
    <x v="5"/>
    <x v="3"/>
    <n v="3414.54"/>
    <n v="3753.83"/>
    <x v="1"/>
    <n v="0.22"/>
    <x v="0"/>
    <x v="1"/>
    <s v="East-Alice"/>
    <x v="8"/>
    <x v="2"/>
    <x v="540"/>
    <x v="539"/>
    <x v="540"/>
  </r>
  <r>
    <n v="1002"/>
    <x v="186"/>
    <x v="4"/>
    <x v="2"/>
    <x v="541"/>
    <x v="25"/>
    <x v="0"/>
    <n v="2872.4"/>
    <n v="3193.76"/>
    <x v="0"/>
    <n v="0.04"/>
    <x v="2"/>
    <x v="0"/>
    <s v="South-Alice"/>
    <x v="3"/>
    <x v="1"/>
    <x v="541"/>
    <x v="540"/>
    <x v="541"/>
  </r>
  <r>
    <n v="1092"/>
    <x v="218"/>
    <x v="0"/>
    <x v="2"/>
    <x v="542"/>
    <x v="0"/>
    <x v="1"/>
    <n v="3070.47"/>
    <n v="3475.29"/>
    <x v="0"/>
    <n v="0.2"/>
    <x v="1"/>
    <x v="0"/>
    <s v="South-Bob"/>
    <x v="4"/>
    <x v="1"/>
    <x v="542"/>
    <x v="541"/>
    <x v="542"/>
  </r>
  <r>
    <n v="1032"/>
    <x v="34"/>
    <x v="1"/>
    <x v="3"/>
    <x v="543"/>
    <x v="47"/>
    <x v="1"/>
    <n v="4714.74"/>
    <n v="5129.1099999999997"/>
    <x v="1"/>
    <n v="0.25"/>
    <x v="1"/>
    <x v="0"/>
    <s v="East-David"/>
    <x v="3"/>
    <x v="0"/>
    <x v="543"/>
    <x v="542"/>
    <x v="543"/>
  </r>
  <r>
    <n v="1091"/>
    <x v="274"/>
    <x v="3"/>
    <x v="1"/>
    <x v="544"/>
    <x v="43"/>
    <x v="3"/>
    <n v="3951.59"/>
    <n v="4387.01"/>
    <x v="1"/>
    <n v="7.0000000000000007E-2"/>
    <x v="1"/>
    <x v="1"/>
    <s v="West-Eve"/>
    <x v="1"/>
    <x v="1"/>
    <x v="544"/>
    <x v="543"/>
    <x v="544"/>
  </r>
  <r>
    <n v="1084"/>
    <x v="80"/>
    <x v="4"/>
    <x v="3"/>
    <x v="545"/>
    <x v="2"/>
    <x v="1"/>
    <n v="169"/>
    <n v="381.91999999999899"/>
    <x v="0"/>
    <n v="0.26"/>
    <x v="0"/>
    <x v="1"/>
    <s v="East-Alice"/>
    <x v="2"/>
    <x v="2"/>
    <x v="545"/>
    <x v="544"/>
    <x v="545"/>
  </r>
  <r>
    <n v="1024"/>
    <x v="107"/>
    <x v="0"/>
    <x v="2"/>
    <x v="546"/>
    <x v="27"/>
    <x v="2"/>
    <n v="2693.99"/>
    <n v="3045.9399999999901"/>
    <x v="1"/>
    <n v="0.01"/>
    <x v="0"/>
    <x v="1"/>
    <s v="South-Bob"/>
    <x v="5"/>
    <x v="2"/>
    <x v="546"/>
    <x v="545"/>
    <x v="546"/>
  </r>
  <r>
    <n v="1012"/>
    <x v="130"/>
    <x v="0"/>
    <x v="3"/>
    <x v="547"/>
    <x v="12"/>
    <x v="0"/>
    <n v="3457.28"/>
    <n v="3598.72"/>
    <x v="1"/>
    <n v="0.27"/>
    <x v="1"/>
    <x v="0"/>
    <s v="East-Bob"/>
    <x v="6"/>
    <x v="1"/>
    <x v="547"/>
    <x v="546"/>
    <x v="547"/>
  </r>
  <r>
    <n v="1050"/>
    <x v="26"/>
    <x v="0"/>
    <x v="2"/>
    <x v="548"/>
    <x v="18"/>
    <x v="0"/>
    <n v="3756.06"/>
    <n v="4255.7299999999996"/>
    <x v="0"/>
    <n v="0.04"/>
    <x v="0"/>
    <x v="0"/>
    <s v="South-Bob"/>
    <x v="6"/>
    <x v="1"/>
    <x v="548"/>
    <x v="547"/>
    <x v="548"/>
  </r>
  <r>
    <n v="1035"/>
    <x v="264"/>
    <x v="1"/>
    <x v="2"/>
    <x v="549"/>
    <x v="24"/>
    <x v="1"/>
    <n v="1105.05"/>
    <n v="1200.96"/>
    <x v="0"/>
    <n v="0.19"/>
    <x v="0"/>
    <x v="0"/>
    <s v="South-David"/>
    <x v="1"/>
    <x v="3"/>
    <x v="549"/>
    <x v="548"/>
    <x v="549"/>
  </r>
  <r>
    <n v="1033"/>
    <x v="217"/>
    <x v="3"/>
    <x v="3"/>
    <x v="550"/>
    <x v="4"/>
    <x v="1"/>
    <n v="4342.53"/>
    <n v="4357.49"/>
    <x v="1"/>
    <n v="0.08"/>
    <x v="1"/>
    <x v="0"/>
    <s v="East-Eve"/>
    <x v="11"/>
    <x v="0"/>
    <x v="550"/>
    <x v="549"/>
    <x v="550"/>
  </r>
  <r>
    <n v="1033"/>
    <x v="275"/>
    <x v="1"/>
    <x v="0"/>
    <x v="551"/>
    <x v="8"/>
    <x v="2"/>
    <n v="4781.42"/>
    <n v="4864.34"/>
    <x v="0"/>
    <n v="0.25"/>
    <x v="1"/>
    <x v="0"/>
    <s v="North-David"/>
    <x v="7"/>
    <x v="2"/>
    <x v="551"/>
    <x v="550"/>
    <x v="551"/>
  </r>
  <r>
    <n v="1061"/>
    <x v="238"/>
    <x v="2"/>
    <x v="3"/>
    <x v="552"/>
    <x v="6"/>
    <x v="2"/>
    <n v="1221.74"/>
    <n v="1611.92"/>
    <x v="1"/>
    <n v="0.15"/>
    <x v="0"/>
    <x v="1"/>
    <s v="East-Charlie"/>
    <x v="1"/>
    <x v="2"/>
    <x v="552"/>
    <x v="551"/>
    <x v="552"/>
  </r>
  <r>
    <n v="1051"/>
    <x v="198"/>
    <x v="0"/>
    <x v="0"/>
    <x v="553"/>
    <x v="43"/>
    <x v="1"/>
    <n v="4418.95"/>
    <n v="4647.87"/>
    <x v="1"/>
    <n v="0.04"/>
    <x v="1"/>
    <x v="0"/>
    <s v="North-Bob"/>
    <x v="10"/>
    <x v="1"/>
    <x v="553"/>
    <x v="552"/>
    <x v="553"/>
  </r>
  <r>
    <n v="1043"/>
    <x v="62"/>
    <x v="2"/>
    <x v="2"/>
    <x v="554"/>
    <x v="33"/>
    <x v="1"/>
    <n v="530.04"/>
    <n v="759.31999999999903"/>
    <x v="0"/>
    <n v="0.17"/>
    <x v="1"/>
    <x v="1"/>
    <s v="South-Charlie"/>
    <x v="7"/>
    <x v="0"/>
    <x v="554"/>
    <x v="553"/>
    <x v="554"/>
  </r>
  <r>
    <n v="1012"/>
    <x v="151"/>
    <x v="4"/>
    <x v="2"/>
    <x v="555"/>
    <x v="20"/>
    <x v="2"/>
    <n v="325.75"/>
    <n v="803.71"/>
    <x v="1"/>
    <n v="0.12"/>
    <x v="1"/>
    <x v="1"/>
    <s v="South-Alice"/>
    <x v="6"/>
    <x v="3"/>
    <x v="555"/>
    <x v="554"/>
    <x v="555"/>
  </r>
  <r>
    <n v="1067"/>
    <x v="276"/>
    <x v="4"/>
    <x v="0"/>
    <x v="556"/>
    <x v="43"/>
    <x v="3"/>
    <n v="689.66"/>
    <n v="1150.28"/>
    <x v="1"/>
    <n v="0.2"/>
    <x v="1"/>
    <x v="0"/>
    <s v="North-Alice"/>
    <x v="11"/>
    <x v="5"/>
    <x v="556"/>
    <x v="555"/>
    <x v="556"/>
  </r>
  <r>
    <n v="1065"/>
    <x v="174"/>
    <x v="1"/>
    <x v="2"/>
    <x v="557"/>
    <x v="14"/>
    <x v="2"/>
    <n v="335.82"/>
    <n v="498.31"/>
    <x v="1"/>
    <n v="0.26"/>
    <x v="0"/>
    <x v="1"/>
    <s v="South-David"/>
    <x v="9"/>
    <x v="2"/>
    <x v="557"/>
    <x v="556"/>
    <x v="557"/>
  </r>
  <r>
    <n v="1033"/>
    <x v="118"/>
    <x v="3"/>
    <x v="0"/>
    <x v="558"/>
    <x v="3"/>
    <x v="3"/>
    <n v="4232.8100000000004"/>
    <n v="4345.25"/>
    <x v="0"/>
    <n v="0.12"/>
    <x v="1"/>
    <x v="0"/>
    <s v="North-Eve"/>
    <x v="0"/>
    <x v="6"/>
    <x v="558"/>
    <x v="557"/>
    <x v="558"/>
  </r>
  <r>
    <n v="1040"/>
    <x v="120"/>
    <x v="2"/>
    <x v="0"/>
    <x v="559"/>
    <x v="12"/>
    <x v="0"/>
    <n v="342.3"/>
    <n v="768.06"/>
    <x v="0"/>
    <n v="0.09"/>
    <x v="2"/>
    <x v="0"/>
    <s v="North-Charlie"/>
    <x v="5"/>
    <x v="5"/>
    <x v="559"/>
    <x v="558"/>
    <x v="559"/>
  </r>
  <r>
    <n v="1074"/>
    <x v="21"/>
    <x v="3"/>
    <x v="2"/>
    <x v="560"/>
    <x v="34"/>
    <x v="0"/>
    <n v="1394.74"/>
    <n v="1848.69"/>
    <x v="0"/>
    <n v="0"/>
    <x v="1"/>
    <x v="1"/>
    <s v="South-Eve"/>
    <x v="5"/>
    <x v="6"/>
    <x v="560"/>
    <x v="559"/>
    <x v="560"/>
  </r>
  <r>
    <n v="1043"/>
    <x v="89"/>
    <x v="1"/>
    <x v="1"/>
    <x v="561"/>
    <x v="32"/>
    <x v="2"/>
    <n v="563.59"/>
    <n v="838.97"/>
    <x v="1"/>
    <n v="0.17"/>
    <x v="2"/>
    <x v="0"/>
    <s v="West-David"/>
    <x v="9"/>
    <x v="0"/>
    <x v="561"/>
    <x v="560"/>
    <x v="561"/>
  </r>
  <r>
    <n v="1044"/>
    <x v="150"/>
    <x v="4"/>
    <x v="0"/>
    <x v="562"/>
    <x v="20"/>
    <x v="3"/>
    <n v="1512.34"/>
    <n v="1830.76"/>
    <x v="1"/>
    <n v="0.12"/>
    <x v="1"/>
    <x v="0"/>
    <s v="North-Alice"/>
    <x v="11"/>
    <x v="2"/>
    <x v="562"/>
    <x v="561"/>
    <x v="562"/>
  </r>
  <r>
    <n v="1029"/>
    <x v="67"/>
    <x v="3"/>
    <x v="3"/>
    <x v="563"/>
    <x v="13"/>
    <x v="2"/>
    <n v="498.27"/>
    <n v="634.16"/>
    <x v="0"/>
    <n v="0.11"/>
    <x v="2"/>
    <x v="1"/>
    <s v="East-Eve"/>
    <x v="6"/>
    <x v="2"/>
    <x v="563"/>
    <x v="562"/>
    <x v="563"/>
  </r>
  <r>
    <n v="1013"/>
    <x v="271"/>
    <x v="3"/>
    <x v="3"/>
    <x v="564"/>
    <x v="46"/>
    <x v="2"/>
    <n v="3356.62"/>
    <n v="3759.0099999999902"/>
    <x v="0"/>
    <n v="0.05"/>
    <x v="2"/>
    <x v="1"/>
    <s v="East-Eve"/>
    <x v="5"/>
    <x v="4"/>
    <x v="564"/>
    <x v="563"/>
    <x v="564"/>
  </r>
  <r>
    <n v="1012"/>
    <x v="264"/>
    <x v="4"/>
    <x v="2"/>
    <x v="565"/>
    <x v="14"/>
    <x v="3"/>
    <n v="709.97"/>
    <n v="1029.71"/>
    <x v="0"/>
    <n v="0.13"/>
    <x v="1"/>
    <x v="1"/>
    <s v="South-Alice"/>
    <x v="1"/>
    <x v="3"/>
    <x v="565"/>
    <x v="564"/>
    <x v="565"/>
  </r>
  <r>
    <n v="1095"/>
    <x v="27"/>
    <x v="2"/>
    <x v="1"/>
    <x v="566"/>
    <x v="5"/>
    <x v="2"/>
    <n v="4266.6400000000003"/>
    <n v="4523.3599999999997"/>
    <x v="1"/>
    <n v="0.3"/>
    <x v="1"/>
    <x v="1"/>
    <s v="West-Charlie"/>
    <x v="8"/>
    <x v="3"/>
    <x v="566"/>
    <x v="565"/>
    <x v="566"/>
  </r>
  <r>
    <n v="1046"/>
    <x v="257"/>
    <x v="4"/>
    <x v="2"/>
    <x v="567"/>
    <x v="41"/>
    <x v="0"/>
    <n v="4095.1"/>
    <n v="4134.55"/>
    <x v="0"/>
    <n v="0.09"/>
    <x v="1"/>
    <x v="1"/>
    <s v="South-Alice"/>
    <x v="3"/>
    <x v="3"/>
    <x v="567"/>
    <x v="566"/>
    <x v="567"/>
  </r>
  <r>
    <n v="1002"/>
    <x v="277"/>
    <x v="3"/>
    <x v="1"/>
    <x v="568"/>
    <x v="0"/>
    <x v="1"/>
    <n v="117.63"/>
    <n v="576.44000000000005"/>
    <x v="1"/>
    <n v="0.18"/>
    <x v="2"/>
    <x v="1"/>
    <s v="West-Eve"/>
    <x v="6"/>
    <x v="4"/>
    <x v="568"/>
    <x v="567"/>
    <x v="568"/>
  </r>
  <r>
    <n v="1035"/>
    <x v="0"/>
    <x v="2"/>
    <x v="0"/>
    <x v="569"/>
    <x v="47"/>
    <x v="1"/>
    <n v="4483.8500000000004"/>
    <n v="4795.42"/>
    <x v="0"/>
    <n v="0.23"/>
    <x v="0"/>
    <x v="0"/>
    <s v="North-Charlie"/>
    <x v="0"/>
    <x v="0"/>
    <x v="569"/>
    <x v="568"/>
    <x v="569"/>
  </r>
  <r>
    <n v="1087"/>
    <x v="175"/>
    <x v="2"/>
    <x v="0"/>
    <x v="570"/>
    <x v="46"/>
    <x v="2"/>
    <n v="193.27"/>
    <n v="297.69"/>
    <x v="1"/>
    <n v="0.22"/>
    <x v="0"/>
    <x v="0"/>
    <s v="North-Charlie"/>
    <x v="2"/>
    <x v="0"/>
    <x v="570"/>
    <x v="569"/>
    <x v="570"/>
  </r>
  <r>
    <n v="1081"/>
    <x v="29"/>
    <x v="4"/>
    <x v="0"/>
    <x v="571"/>
    <x v="18"/>
    <x v="3"/>
    <n v="1236.25"/>
    <n v="1543.38"/>
    <x v="1"/>
    <n v="0.1"/>
    <x v="1"/>
    <x v="0"/>
    <s v="North-Alice"/>
    <x v="2"/>
    <x v="4"/>
    <x v="571"/>
    <x v="570"/>
    <x v="571"/>
  </r>
  <r>
    <n v="1090"/>
    <x v="278"/>
    <x v="3"/>
    <x v="0"/>
    <x v="572"/>
    <x v="23"/>
    <x v="3"/>
    <n v="210.33"/>
    <n v="552.29"/>
    <x v="0"/>
    <n v="0.18"/>
    <x v="0"/>
    <x v="1"/>
    <s v="North-Eve"/>
    <x v="2"/>
    <x v="3"/>
    <x v="572"/>
    <x v="571"/>
    <x v="572"/>
  </r>
  <r>
    <n v="1008"/>
    <x v="149"/>
    <x v="1"/>
    <x v="3"/>
    <x v="573"/>
    <x v="35"/>
    <x v="0"/>
    <n v="1712.43"/>
    <n v="1980.06"/>
    <x v="1"/>
    <n v="0.26"/>
    <x v="0"/>
    <x v="0"/>
    <s v="East-David"/>
    <x v="10"/>
    <x v="5"/>
    <x v="573"/>
    <x v="572"/>
    <x v="573"/>
  </r>
  <r>
    <n v="1093"/>
    <x v="279"/>
    <x v="3"/>
    <x v="3"/>
    <x v="574"/>
    <x v="33"/>
    <x v="3"/>
    <n v="2593.64"/>
    <n v="2955.5099999999902"/>
    <x v="0"/>
    <n v="0"/>
    <x v="1"/>
    <x v="1"/>
    <s v="East-Eve"/>
    <x v="7"/>
    <x v="5"/>
    <x v="574"/>
    <x v="573"/>
    <x v="574"/>
  </r>
  <r>
    <n v="1026"/>
    <x v="209"/>
    <x v="0"/>
    <x v="2"/>
    <x v="575"/>
    <x v="41"/>
    <x v="3"/>
    <n v="3993.39"/>
    <n v="4288.3"/>
    <x v="1"/>
    <n v="0.13"/>
    <x v="2"/>
    <x v="0"/>
    <s v="South-Bob"/>
    <x v="1"/>
    <x v="1"/>
    <x v="575"/>
    <x v="574"/>
    <x v="575"/>
  </r>
  <r>
    <n v="1074"/>
    <x v="257"/>
    <x v="1"/>
    <x v="1"/>
    <x v="576"/>
    <x v="6"/>
    <x v="0"/>
    <n v="1723.01"/>
    <n v="2197.42"/>
    <x v="1"/>
    <n v="7.0000000000000007E-2"/>
    <x v="1"/>
    <x v="1"/>
    <s v="West-David"/>
    <x v="3"/>
    <x v="3"/>
    <x v="576"/>
    <x v="575"/>
    <x v="576"/>
  </r>
  <r>
    <n v="1090"/>
    <x v="118"/>
    <x v="2"/>
    <x v="0"/>
    <x v="577"/>
    <x v="16"/>
    <x v="2"/>
    <n v="3542.18"/>
    <n v="3578.49"/>
    <x v="0"/>
    <n v="0.12"/>
    <x v="0"/>
    <x v="0"/>
    <s v="North-Charlie"/>
    <x v="0"/>
    <x v="6"/>
    <x v="577"/>
    <x v="576"/>
    <x v="577"/>
  </r>
  <r>
    <n v="1034"/>
    <x v="146"/>
    <x v="1"/>
    <x v="0"/>
    <x v="578"/>
    <x v="24"/>
    <x v="1"/>
    <n v="978.15"/>
    <n v="1040.21"/>
    <x v="1"/>
    <n v="0.12"/>
    <x v="2"/>
    <x v="1"/>
    <s v="North-David"/>
    <x v="7"/>
    <x v="5"/>
    <x v="578"/>
    <x v="577"/>
    <x v="578"/>
  </r>
  <r>
    <n v="1007"/>
    <x v="157"/>
    <x v="2"/>
    <x v="1"/>
    <x v="579"/>
    <x v="4"/>
    <x v="0"/>
    <n v="3765.46"/>
    <n v="3860.56"/>
    <x v="0"/>
    <n v="0.22"/>
    <x v="0"/>
    <x v="1"/>
    <s v="West-Charlie"/>
    <x v="5"/>
    <x v="5"/>
    <x v="579"/>
    <x v="578"/>
    <x v="579"/>
  </r>
  <r>
    <n v="1068"/>
    <x v="24"/>
    <x v="2"/>
    <x v="1"/>
    <x v="580"/>
    <x v="31"/>
    <x v="2"/>
    <n v="1218.18"/>
    <n v="1566.36"/>
    <x v="0"/>
    <n v="0.03"/>
    <x v="2"/>
    <x v="1"/>
    <s v="West-Charlie"/>
    <x v="8"/>
    <x v="3"/>
    <x v="580"/>
    <x v="579"/>
    <x v="580"/>
  </r>
  <r>
    <n v="1058"/>
    <x v="280"/>
    <x v="1"/>
    <x v="2"/>
    <x v="581"/>
    <x v="14"/>
    <x v="0"/>
    <n v="760.55"/>
    <n v="1086.8899999999901"/>
    <x v="0"/>
    <n v="0.15"/>
    <x v="0"/>
    <x v="1"/>
    <s v="South-David"/>
    <x v="2"/>
    <x v="2"/>
    <x v="581"/>
    <x v="580"/>
    <x v="581"/>
  </r>
  <r>
    <n v="1075"/>
    <x v="3"/>
    <x v="2"/>
    <x v="1"/>
    <x v="582"/>
    <x v="31"/>
    <x v="2"/>
    <n v="967.77"/>
    <n v="1414.88"/>
    <x v="1"/>
    <n v="0.17"/>
    <x v="1"/>
    <x v="0"/>
    <s v="West-Charlie"/>
    <x v="3"/>
    <x v="1"/>
    <x v="582"/>
    <x v="581"/>
    <x v="582"/>
  </r>
  <r>
    <n v="1029"/>
    <x v="281"/>
    <x v="2"/>
    <x v="0"/>
    <x v="583"/>
    <x v="17"/>
    <x v="0"/>
    <n v="951.21"/>
    <n v="1320.32"/>
    <x v="1"/>
    <n v="0.15"/>
    <x v="0"/>
    <x v="0"/>
    <s v="North-Charlie"/>
    <x v="11"/>
    <x v="3"/>
    <x v="583"/>
    <x v="582"/>
    <x v="583"/>
  </r>
  <r>
    <n v="1036"/>
    <x v="282"/>
    <x v="0"/>
    <x v="0"/>
    <x v="17"/>
    <x v="48"/>
    <x v="2"/>
    <n v="2588.67"/>
    <n v="2847.76"/>
    <x v="1"/>
    <n v="0.22"/>
    <x v="0"/>
    <x v="1"/>
    <s v="North-Bob"/>
    <x v="2"/>
    <x v="0"/>
    <x v="584"/>
    <x v="583"/>
    <x v="584"/>
  </r>
  <r>
    <n v="1089"/>
    <x v="3"/>
    <x v="3"/>
    <x v="0"/>
    <x v="584"/>
    <x v="41"/>
    <x v="0"/>
    <n v="4231.75"/>
    <n v="4727.75"/>
    <x v="0"/>
    <n v="0.12"/>
    <x v="2"/>
    <x v="1"/>
    <s v="North-Eve"/>
    <x v="3"/>
    <x v="1"/>
    <x v="585"/>
    <x v="584"/>
    <x v="585"/>
  </r>
  <r>
    <n v="1021"/>
    <x v="208"/>
    <x v="3"/>
    <x v="0"/>
    <x v="585"/>
    <x v="12"/>
    <x v="2"/>
    <n v="444.05"/>
    <n v="584.44000000000005"/>
    <x v="0"/>
    <n v="0.28000000000000003"/>
    <x v="0"/>
    <x v="1"/>
    <s v="North-Eve"/>
    <x v="3"/>
    <x v="5"/>
    <x v="586"/>
    <x v="585"/>
    <x v="586"/>
  </r>
  <r>
    <n v="1036"/>
    <x v="199"/>
    <x v="0"/>
    <x v="0"/>
    <x v="586"/>
    <x v="31"/>
    <x v="0"/>
    <n v="3549.43"/>
    <n v="3967.6899999999901"/>
    <x v="1"/>
    <n v="0.14000000000000001"/>
    <x v="1"/>
    <x v="0"/>
    <s v="North-Bob"/>
    <x v="2"/>
    <x v="2"/>
    <x v="587"/>
    <x v="586"/>
    <x v="587"/>
  </r>
  <r>
    <n v="1010"/>
    <x v="197"/>
    <x v="1"/>
    <x v="2"/>
    <x v="587"/>
    <x v="2"/>
    <x v="1"/>
    <n v="3289.01"/>
    <n v="3508.14"/>
    <x v="1"/>
    <n v="0.17"/>
    <x v="1"/>
    <x v="1"/>
    <s v="South-David"/>
    <x v="9"/>
    <x v="4"/>
    <x v="588"/>
    <x v="587"/>
    <x v="588"/>
  </r>
  <r>
    <n v="1073"/>
    <x v="283"/>
    <x v="4"/>
    <x v="0"/>
    <x v="588"/>
    <x v="17"/>
    <x v="1"/>
    <n v="4368.97"/>
    <n v="4696.8500000000004"/>
    <x v="0"/>
    <n v="0.25"/>
    <x v="1"/>
    <x v="1"/>
    <s v="North-Alice"/>
    <x v="9"/>
    <x v="6"/>
    <x v="589"/>
    <x v="588"/>
    <x v="589"/>
  </r>
  <r>
    <n v="1024"/>
    <x v="284"/>
    <x v="4"/>
    <x v="2"/>
    <x v="589"/>
    <x v="22"/>
    <x v="3"/>
    <n v="1258.53"/>
    <n v="1624.8899999999901"/>
    <x v="1"/>
    <n v="0.08"/>
    <x v="2"/>
    <x v="0"/>
    <s v="South-Alice"/>
    <x v="4"/>
    <x v="4"/>
    <x v="590"/>
    <x v="589"/>
    <x v="590"/>
  </r>
  <r>
    <n v="1064"/>
    <x v="177"/>
    <x v="4"/>
    <x v="0"/>
    <x v="590"/>
    <x v="9"/>
    <x v="2"/>
    <n v="2278.04"/>
    <n v="2598.58"/>
    <x v="0"/>
    <n v="0.02"/>
    <x v="2"/>
    <x v="1"/>
    <s v="North-Alice"/>
    <x v="6"/>
    <x v="4"/>
    <x v="591"/>
    <x v="590"/>
    <x v="591"/>
  </r>
  <r>
    <n v="1099"/>
    <x v="285"/>
    <x v="0"/>
    <x v="3"/>
    <x v="591"/>
    <x v="17"/>
    <x v="0"/>
    <n v="4632.8500000000004"/>
    <n v="4711.7"/>
    <x v="1"/>
    <n v="0.21"/>
    <x v="0"/>
    <x v="1"/>
    <s v="East-Bob"/>
    <x v="5"/>
    <x v="3"/>
    <x v="592"/>
    <x v="591"/>
    <x v="592"/>
  </r>
  <r>
    <n v="1049"/>
    <x v="60"/>
    <x v="0"/>
    <x v="3"/>
    <x v="592"/>
    <x v="12"/>
    <x v="2"/>
    <n v="3316.97"/>
    <n v="3544.02"/>
    <x v="0"/>
    <n v="0.14000000000000001"/>
    <x v="0"/>
    <x v="0"/>
    <s v="East-Bob"/>
    <x v="10"/>
    <x v="4"/>
    <x v="593"/>
    <x v="592"/>
    <x v="593"/>
  </r>
  <r>
    <n v="1099"/>
    <x v="189"/>
    <x v="2"/>
    <x v="3"/>
    <x v="593"/>
    <x v="17"/>
    <x v="1"/>
    <n v="1974.4"/>
    <n v="2259.5"/>
    <x v="1"/>
    <n v="0.27"/>
    <x v="0"/>
    <x v="1"/>
    <s v="East-Charlie"/>
    <x v="6"/>
    <x v="6"/>
    <x v="594"/>
    <x v="593"/>
    <x v="594"/>
  </r>
  <r>
    <n v="1036"/>
    <x v="50"/>
    <x v="4"/>
    <x v="3"/>
    <x v="594"/>
    <x v="5"/>
    <x v="2"/>
    <n v="700.49"/>
    <n v="1126.52"/>
    <x v="1"/>
    <n v="0.28999999999999998"/>
    <x v="2"/>
    <x v="1"/>
    <s v="East-Alice"/>
    <x v="8"/>
    <x v="4"/>
    <x v="595"/>
    <x v="594"/>
    <x v="595"/>
  </r>
  <r>
    <n v="1082"/>
    <x v="239"/>
    <x v="1"/>
    <x v="2"/>
    <x v="595"/>
    <x v="39"/>
    <x v="0"/>
    <n v="1349.3"/>
    <n v="1576.69"/>
    <x v="0"/>
    <n v="0.12"/>
    <x v="2"/>
    <x v="0"/>
    <s v="South-David"/>
    <x v="10"/>
    <x v="0"/>
    <x v="596"/>
    <x v="595"/>
    <x v="596"/>
  </r>
  <r>
    <n v="1096"/>
    <x v="62"/>
    <x v="1"/>
    <x v="2"/>
    <x v="596"/>
    <x v="15"/>
    <x v="2"/>
    <n v="2927.02"/>
    <n v="3387.21"/>
    <x v="0"/>
    <n v="0.12"/>
    <x v="0"/>
    <x v="1"/>
    <s v="South-David"/>
    <x v="7"/>
    <x v="0"/>
    <x v="597"/>
    <x v="596"/>
    <x v="597"/>
  </r>
  <r>
    <n v="1024"/>
    <x v="115"/>
    <x v="4"/>
    <x v="1"/>
    <x v="597"/>
    <x v="39"/>
    <x v="0"/>
    <n v="3604.93"/>
    <n v="3830.71"/>
    <x v="0"/>
    <n v="0.12"/>
    <x v="2"/>
    <x v="0"/>
    <s v="West-Alice"/>
    <x v="6"/>
    <x v="0"/>
    <x v="598"/>
    <x v="597"/>
    <x v="598"/>
  </r>
  <r>
    <n v="1023"/>
    <x v="251"/>
    <x v="4"/>
    <x v="0"/>
    <x v="598"/>
    <x v="39"/>
    <x v="1"/>
    <n v="665.89"/>
    <n v="944.79"/>
    <x v="1"/>
    <n v="0.1"/>
    <x v="2"/>
    <x v="1"/>
    <s v="North-Alice"/>
    <x v="11"/>
    <x v="6"/>
    <x v="599"/>
    <x v="598"/>
    <x v="599"/>
  </r>
  <r>
    <n v="1062"/>
    <x v="260"/>
    <x v="4"/>
    <x v="3"/>
    <x v="599"/>
    <x v="38"/>
    <x v="1"/>
    <n v="3018.01"/>
    <n v="3418.19"/>
    <x v="0"/>
    <n v="0.23"/>
    <x v="1"/>
    <x v="1"/>
    <s v="East-Alice"/>
    <x v="4"/>
    <x v="3"/>
    <x v="600"/>
    <x v="599"/>
    <x v="600"/>
  </r>
  <r>
    <n v="1096"/>
    <x v="82"/>
    <x v="0"/>
    <x v="2"/>
    <x v="600"/>
    <x v="1"/>
    <x v="1"/>
    <n v="2774.24"/>
    <n v="3069.9399999999901"/>
    <x v="0"/>
    <n v="0.23"/>
    <x v="1"/>
    <x v="1"/>
    <s v="South-Bob"/>
    <x v="8"/>
    <x v="6"/>
    <x v="601"/>
    <x v="600"/>
    <x v="601"/>
  </r>
  <r>
    <n v="1037"/>
    <x v="176"/>
    <x v="0"/>
    <x v="0"/>
    <x v="601"/>
    <x v="5"/>
    <x v="3"/>
    <n v="2594.08"/>
    <n v="3074.59"/>
    <x v="1"/>
    <n v="0.14000000000000001"/>
    <x v="0"/>
    <x v="1"/>
    <s v="North-Bob"/>
    <x v="9"/>
    <x v="5"/>
    <x v="602"/>
    <x v="601"/>
    <x v="602"/>
  </r>
  <r>
    <n v="1012"/>
    <x v="56"/>
    <x v="0"/>
    <x v="0"/>
    <x v="602"/>
    <x v="25"/>
    <x v="1"/>
    <n v="3466.11"/>
    <n v="3799.67"/>
    <x v="0"/>
    <n v="0.01"/>
    <x v="0"/>
    <x v="1"/>
    <s v="North-Bob"/>
    <x v="10"/>
    <x v="2"/>
    <x v="603"/>
    <x v="602"/>
    <x v="603"/>
  </r>
  <r>
    <n v="1055"/>
    <x v="255"/>
    <x v="3"/>
    <x v="2"/>
    <x v="603"/>
    <x v="25"/>
    <x v="2"/>
    <n v="4195.38"/>
    <n v="4461.51"/>
    <x v="0"/>
    <n v="0.09"/>
    <x v="1"/>
    <x v="0"/>
    <s v="South-Eve"/>
    <x v="11"/>
    <x v="1"/>
    <x v="604"/>
    <x v="603"/>
    <x v="604"/>
  </r>
  <r>
    <n v="1013"/>
    <x v="62"/>
    <x v="1"/>
    <x v="3"/>
    <x v="604"/>
    <x v="7"/>
    <x v="3"/>
    <n v="1648.8"/>
    <n v="1670.36"/>
    <x v="0"/>
    <n v="0.09"/>
    <x v="2"/>
    <x v="1"/>
    <s v="East-David"/>
    <x v="7"/>
    <x v="0"/>
    <x v="605"/>
    <x v="604"/>
    <x v="605"/>
  </r>
  <r>
    <n v="1023"/>
    <x v="263"/>
    <x v="1"/>
    <x v="1"/>
    <x v="605"/>
    <x v="3"/>
    <x v="1"/>
    <n v="4450.6099999999997"/>
    <n v="4663.3399999999901"/>
    <x v="1"/>
    <n v="0.24"/>
    <x v="0"/>
    <x v="1"/>
    <s v="West-David"/>
    <x v="4"/>
    <x v="1"/>
    <x v="606"/>
    <x v="605"/>
    <x v="606"/>
  </r>
  <r>
    <n v="1089"/>
    <x v="18"/>
    <x v="2"/>
    <x v="0"/>
    <x v="606"/>
    <x v="17"/>
    <x v="2"/>
    <n v="845.14"/>
    <n v="1001.77"/>
    <x v="1"/>
    <n v="0.03"/>
    <x v="0"/>
    <x v="0"/>
    <s v="North-Charlie"/>
    <x v="11"/>
    <x v="4"/>
    <x v="607"/>
    <x v="606"/>
    <x v="607"/>
  </r>
  <r>
    <n v="1099"/>
    <x v="105"/>
    <x v="0"/>
    <x v="1"/>
    <x v="607"/>
    <x v="8"/>
    <x v="2"/>
    <n v="906.47"/>
    <n v="1283.04"/>
    <x v="1"/>
    <n v="0.24"/>
    <x v="0"/>
    <x v="0"/>
    <s v="West-Bob"/>
    <x v="7"/>
    <x v="5"/>
    <x v="608"/>
    <x v="607"/>
    <x v="608"/>
  </r>
  <r>
    <n v="1030"/>
    <x v="78"/>
    <x v="3"/>
    <x v="3"/>
    <x v="608"/>
    <x v="38"/>
    <x v="2"/>
    <n v="1370.52"/>
    <n v="1482.58"/>
    <x v="0"/>
    <n v="0.2"/>
    <x v="2"/>
    <x v="1"/>
    <s v="East-Eve"/>
    <x v="8"/>
    <x v="6"/>
    <x v="609"/>
    <x v="608"/>
    <x v="609"/>
  </r>
  <r>
    <n v="1017"/>
    <x v="146"/>
    <x v="3"/>
    <x v="3"/>
    <x v="609"/>
    <x v="21"/>
    <x v="0"/>
    <n v="641.67999999999995"/>
    <n v="752.24"/>
    <x v="1"/>
    <n v="0.22"/>
    <x v="1"/>
    <x v="0"/>
    <s v="East-Eve"/>
    <x v="7"/>
    <x v="5"/>
    <x v="610"/>
    <x v="609"/>
    <x v="610"/>
  </r>
  <r>
    <n v="1062"/>
    <x v="176"/>
    <x v="1"/>
    <x v="1"/>
    <x v="610"/>
    <x v="23"/>
    <x v="3"/>
    <n v="1190.08"/>
    <n v="1292.9399999999901"/>
    <x v="0"/>
    <n v="0.13"/>
    <x v="0"/>
    <x v="1"/>
    <s v="West-David"/>
    <x v="9"/>
    <x v="5"/>
    <x v="611"/>
    <x v="610"/>
    <x v="611"/>
  </r>
  <r>
    <n v="1084"/>
    <x v="142"/>
    <x v="0"/>
    <x v="3"/>
    <x v="611"/>
    <x v="9"/>
    <x v="2"/>
    <n v="576.74"/>
    <n v="648.29"/>
    <x v="0"/>
    <n v="0.2"/>
    <x v="1"/>
    <x v="0"/>
    <s v="East-Bob"/>
    <x v="5"/>
    <x v="6"/>
    <x v="612"/>
    <x v="611"/>
    <x v="612"/>
  </r>
  <r>
    <n v="1089"/>
    <x v="42"/>
    <x v="2"/>
    <x v="0"/>
    <x v="612"/>
    <x v="41"/>
    <x v="0"/>
    <n v="4117.67"/>
    <n v="4280.0600000000004"/>
    <x v="0"/>
    <n v="0.18"/>
    <x v="1"/>
    <x v="0"/>
    <s v="North-Charlie"/>
    <x v="4"/>
    <x v="0"/>
    <x v="613"/>
    <x v="612"/>
    <x v="613"/>
  </r>
  <r>
    <n v="1086"/>
    <x v="65"/>
    <x v="0"/>
    <x v="1"/>
    <x v="613"/>
    <x v="48"/>
    <x v="1"/>
    <n v="737.9"/>
    <n v="1182"/>
    <x v="1"/>
    <n v="0.23"/>
    <x v="2"/>
    <x v="1"/>
    <s v="West-Bob"/>
    <x v="8"/>
    <x v="6"/>
    <x v="614"/>
    <x v="613"/>
    <x v="614"/>
  </r>
  <r>
    <n v="1013"/>
    <x v="11"/>
    <x v="4"/>
    <x v="3"/>
    <x v="614"/>
    <x v="42"/>
    <x v="2"/>
    <n v="3749.12"/>
    <n v="4138.83"/>
    <x v="1"/>
    <n v="0.13"/>
    <x v="2"/>
    <x v="0"/>
    <s v="East-Alice"/>
    <x v="3"/>
    <x v="4"/>
    <x v="615"/>
    <x v="614"/>
    <x v="615"/>
  </r>
  <r>
    <n v="1059"/>
    <x v="115"/>
    <x v="0"/>
    <x v="1"/>
    <x v="615"/>
    <x v="20"/>
    <x v="0"/>
    <n v="287.17"/>
    <n v="657.44"/>
    <x v="0"/>
    <n v="0.14000000000000001"/>
    <x v="2"/>
    <x v="1"/>
    <s v="West-Bob"/>
    <x v="6"/>
    <x v="0"/>
    <x v="616"/>
    <x v="615"/>
    <x v="616"/>
  </r>
  <r>
    <n v="1019"/>
    <x v="272"/>
    <x v="4"/>
    <x v="0"/>
    <x v="616"/>
    <x v="26"/>
    <x v="2"/>
    <n v="4745.18"/>
    <n v="5145.88"/>
    <x v="0"/>
    <n v="0.19"/>
    <x v="2"/>
    <x v="0"/>
    <s v="North-Alice"/>
    <x v="11"/>
    <x v="3"/>
    <x v="617"/>
    <x v="616"/>
    <x v="617"/>
  </r>
  <r>
    <n v="1049"/>
    <x v="286"/>
    <x v="4"/>
    <x v="3"/>
    <x v="617"/>
    <x v="17"/>
    <x v="3"/>
    <n v="3570.24"/>
    <n v="3712.25"/>
    <x v="1"/>
    <n v="0.03"/>
    <x v="2"/>
    <x v="0"/>
    <s v="East-Alice"/>
    <x v="0"/>
    <x v="3"/>
    <x v="618"/>
    <x v="617"/>
    <x v="618"/>
  </r>
  <r>
    <n v="1100"/>
    <x v="287"/>
    <x v="2"/>
    <x v="0"/>
    <x v="618"/>
    <x v="1"/>
    <x v="3"/>
    <n v="83.64"/>
    <n v="528.49"/>
    <x v="1"/>
    <n v="0.13"/>
    <x v="2"/>
    <x v="0"/>
    <s v="North-Charlie"/>
    <x v="2"/>
    <x v="5"/>
    <x v="619"/>
    <x v="618"/>
    <x v="619"/>
  </r>
  <r>
    <n v="1012"/>
    <x v="229"/>
    <x v="1"/>
    <x v="3"/>
    <x v="619"/>
    <x v="19"/>
    <x v="1"/>
    <n v="3831.09"/>
    <n v="3908.37"/>
    <x v="1"/>
    <n v="0.28999999999999998"/>
    <x v="0"/>
    <x v="1"/>
    <s v="East-David"/>
    <x v="0"/>
    <x v="3"/>
    <x v="620"/>
    <x v="619"/>
    <x v="620"/>
  </r>
  <r>
    <n v="1061"/>
    <x v="288"/>
    <x v="0"/>
    <x v="2"/>
    <x v="620"/>
    <x v="23"/>
    <x v="2"/>
    <n v="2594.71"/>
    <n v="2769.52"/>
    <x v="0"/>
    <n v="0.01"/>
    <x v="1"/>
    <x v="1"/>
    <s v="South-Bob"/>
    <x v="4"/>
    <x v="4"/>
    <x v="621"/>
    <x v="620"/>
    <x v="621"/>
  </r>
  <r>
    <n v="1019"/>
    <x v="141"/>
    <x v="4"/>
    <x v="3"/>
    <x v="621"/>
    <x v="40"/>
    <x v="0"/>
    <n v="3907.86"/>
    <n v="4205.37"/>
    <x v="1"/>
    <n v="0.09"/>
    <x v="2"/>
    <x v="0"/>
    <s v="East-Alice"/>
    <x v="10"/>
    <x v="5"/>
    <x v="622"/>
    <x v="621"/>
    <x v="622"/>
  </r>
  <r>
    <n v="1076"/>
    <x v="89"/>
    <x v="0"/>
    <x v="1"/>
    <x v="622"/>
    <x v="5"/>
    <x v="1"/>
    <n v="2636.36"/>
    <n v="2696.78"/>
    <x v="1"/>
    <n v="0.09"/>
    <x v="0"/>
    <x v="1"/>
    <s v="West-Bob"/>
    <x v="9"/>
    <x v="0"/>
    <x v="623"/>
    <x v="622"/>
    <x v="623"/>
  </r>
  <r>
    <n v="1009"/>
    <x v="113"/>
    <x v="1"/>
    <x v="3"/>
    <x v="623"/>
    <x v="21"/>
    <x v="2"/>
    <n v="3223.07"/>
    <n v="3590.83"/>
    <x v="1"/>
    <n v="0.19"/>
    <x v="1"/>
    <x v="1"/>
    <s v="East-David"/>
    <x v="4"/>
    <x v="2"/>
    <x v="624"/>
    <x v="623"/>
    <x v="624"/>
  </r>
  <r>
    <n v="1071"/>
    <x v="250"/>
    <x v="1"/>
    <x v="0"/>
    <x v="624"/>
    <x v="20"/>
    <x v="1"/>
    <n v="3942.34"/>
    <n v="4142.09"/>
    <x v="0"/>
    <n v="0.03"/>
    <x v="2"/>
    <x v="1"/>
    <s v="North-David"/>
    <x v="8"/>
    <x v="4"/>
    <x v="625"/>
    <x v="624"/>
    <x v="625"/>
  </r>
  <r>
    <n v="1028"/>
    <x v="30"/>
    <x v="3"/>
    <x v="0"/>
    <x v="625"/>
    <x v="40"/>
    <x v="0"/>
    <n v="2055.2800000000002"/>
    <n v="2449.64"/>
    <x v="1"/>
    <n v="0.19"/>
    <x v="2"/>
    <x v="0"/>
    <s v="North-Eve"/>
    <x v="3"/>
    <x v="1"/>
    <x v="626"/>
    <x v="625"/>
    <x v="626"/>
  </r>
  <r>
    <n v="1078"/>
    <x v="200"/>
    <x v="1"/>
    <x v="3"/>
    <x v="626"/>
    <x v="31"/>
    <x v="1"/>
    <n v="63.41"/>
    <n v="314.93"/>
    <x v="0"/>
    <n v="0.03"/>
    <x v="0"/>
    <x v="1"/>
    <s v="East-David"/>
    <x v="5"/>
    <x v="4"/>
    <x v="627"/>
    <x v="626"/>
    <x v="627"/>
  </r>
  <r>
    <n v="1095"/>
    <x v="128"/>
    <x v="2"/>
    <x v="1"/>
    <x v="627"/>
    <x v="48"/>
    <x v="1"/>
    <n v="4257.24"/>
    <n v="4355.87"/>
    <x v="0"/>
    <n v="0.03"/>
    <x v="1"/>
    <x v="0"/>
    <s v="West-Charlie"/>
    <x v="8"/>
    <x v="5"/>
    <x v="628"/>
    <x v="627"/>
    <x v="628"/>
  </r>
  <r>
    <n v="1052"/>
    <x v="289"/>
    <x v="4"/>
    <x v="2"/>
    <x v="628"/>
    <x v="39"/>
    <x v="1"/>
    <n v="1935.41"/>
    <n v="2305.44"/>
    <x v="0"/>
    <n v="0.22"/>
    <x v="2"/>
    <x v="0"/>
    <s v="South-Alice"/>
    <x v="1"/>
    <x v="4"/>
    <x v="629"/>
    <x v="628"/>
    <x v="629"/>
  </r>
  <r>
    <n v="1083"/>
    <x v="11"/>
    <x v="3"/>
    <x v="1"/>
    <x v="629"/>
    <x v="31"/>
    <x v="2"/>
    <n v="2505.41"/>
    <n v="2638.96"/>
    <x v="1"/>
    <n v="0.1"/>
    <x v="1"/>
    <x v="0"/>
    <s v="West-Eve"/>
    <x v="3"/>
    <x v="4"/>
    <x v="630"/>
    <x v="629"/>
    <x v="630"/>
  </r>
  <r>
    <n v="1016"/>
    <x v="163"/>
    <x v="2"/>
    <x v="2"/>
    <x v="630"/>
    <x v="38"/>
    <x v="0"/>
    <n v="88.44"/>
    <n v="338.94"/>
    <x v="1"/>
    <n v="0.28999999999999998"/>
    <x v="0"/>
    <x v="0"/>
    <s v="South-Charlie"/>
    <x v="8"/>
    <x v="1"/>
    <x v="631"/>
    <x v="630"/>
    <x v="631"/>
  </r>
  <r>
    <n v="1069"/>
    <x v="148"/>
    <x v="0"/>
    <x v="0"/>
    <x v="631"/>
    <x v="41"/>
    <x v="3"/>
    <n v="2485.86"/>
    <n v="2532.87"/>
    <x v="1"/>
    <n v="0.01"/>
    <x v="2"/>
    <x v="0"/>
    <s v="North-Bob"/>
    <x v="3"/>
    <x v="5"/>
    <x v="632"/>
    <x v="631"/>
    <x v="632"/>
  </r>
  <r>
    <n v="1099"/>
    <x v="290"/>
    <x v="4"/>
    <x v="1"/>
    <x v="632"/>
    <x v="16"/>
    <x v="2"/>
    <n v="4933.1099999999997"/>
    <n v="5245.86"/>
    <x v="0"/>
    <n v="0.13"/>
    <x v="1"/>
    <x v="1"/>
    <s v="West-Alice"/>
    <x v="3"/>
    <x v="3"/>
    <x v="633"/>
    <x v="632"/>
    <x v="633"/>
  </r>
  <r>
    <n v="1012"/>
    <x v="66"/>
    <x v="1"/>
    <x v="2"/>
    <x v="633"/>
    <x v="12"/>
    <x v="3"/>
    <n v="1427.42"/>
    <n v="1763.69"/>
    <x v="1"/>
    <n v="0.03"/>
    <x v="0"/>
    <x v="1"/>
    <s v="South-David"/>
    <x v="2"/>
    <x v="2"/>
    <x v="634"/>
    <x v="633"/>
    <x v="634"/>
  </r>
  <r>
    <n v="1025"/>
    <x v="291"/>
    <x v="4"/>
    <x v="3"/>
    <x v="634"/>
    <x v="42"/>
    <x v="3"/>
    <n v="2007.32"/>
    <n v="2202.87"/>
    <x v="0"/>
    <n v="0.11"/>
    <x v="0"/>
    <x v="0"/>
    <s v="East-Alice"/>
    <x v="2"/>
    <x v="3"/>
    <x v="635"/>
    <x v="634"/>
    <x v="635"/>
  </r>
  <r>
    <n v="1052"/>
    <x v="99"/>
    <x v="0"/>
    <x v="0"/>
    <x v="635"/>
    <x v="23"/>
    <x v="2"/>
    <n v="3451.59"/>
    <n v="3929.26"/>
    <x v="1"/>
    <n v="0.3"/>
    <x v="2"/>
    <x v="1"/>
    <s v="North-Bob"/>
    <x v="5"/>
    <x v="1"/>
    <x v="636"/>
    <x v="635"/>
    <x v="636"/>
  </r>
  <r>
    <n v="1085"/>
    <x v="70"/>
    <x v="3"/>
    <x v="3"/>
    <x v="636"/>
    <x v="11"/>
    <x v="2"/>
    <n v="4083.23"/>
    <n v="4521.57"/>
    <x v="1"/>
    <n v="0.27"/>
    <x v="1"/>
    <x v="1"/>
    <s v="East-Eve"/>
    <x v="2"/>
    <x v="4"/>
    <x v="637"/>
    <x v="636"/>
    <x v="637"/>
  </r>
  <r>
    <n v="1100"/>
    <x v="206"/>
    <x v="3"/>
    <x v="0"/>
    <x v="637"/>
    <x v="8"/>
    <x v="0"/>
    <n v="2116.09"/>
    <n v="2472.98"/>
    <x v="1"/>
    <n v="0.01"/>
    <x v="2"/>
    <x v="1"/>
    <s v="North-Eve"/>
    <x v="0"/>
    <x v="1"/>
    <x v="638"/>
    <x v="637"/>
    <x v="638"/>
  </r>
  <r>
    <n v="1053"/>
    <x v="57"/>
    <x v="3"/>
    <x v="1"/>
    <x v="638"/>
    <x v="23"/>
    <x v="0"/>
    <n v="1582.86"/>
    <n v="1942.55"/>
    <x v="1"/>
    <n v="0.17"/>
    <x v="2"/>
    <x v="1"/>
    <s v="West-Eve"/>
    <x v="0"/>
    <x v="1"/>
    <x v="639"/>
    <x v="638"/>
    <x v="639"/>
  </r>
  <r>
    <n v="1023"/>
    <x v="186"/>
    <x v="1"/>
    <x v="1"/>
    <x v="639"/>
    <x v="27"/>
    <x v="1"/>
    <n v="4692.24"/>
    <n v="4825.92"/>
    <x v="0"/>
    <n v="0.19"/>
    <x v="1"/>
    <x v="1"/>
    <s v="West-David"/>
    <x v="3"/>
    <x v="1"/>
    <x v="640"/>
    <x v="639"/>
    <x v="640"/>
  </r>
  <r>
    <n v="1016"/>
    <x v="177"/>
    <x v="2"/>
    <x v="0"/>
    <x v="640"/>
    <x v="45"/>
    <x v="3"/>
    <n v="3401.87"/>
    <n v="3733.71"/>
    <x v="0"/>
    <n v="0.06"/>
    <x v="1"/>
    <x v="1"/>
    <s v="North-Charlie"/>
    <x v="6"/>
    <x v="4"/>
    <x v="641"/>
    <x v="640"/>
    <x v="641"/>
  </r>
  <r>
    <n v="1057"/>
    <x v="231"/>
    <x v="2"/>
    <x v="0"/>
    <x v="641"/>
    <x v="26"/>
    <x v="0"/>
    <n v="639.16"/>
    <n v="746.28"/>
    <x v="0"/>
    <n v="0.04"/>
    <x v="1"/>
    <x v="1"/>
    <s v="North-Charlie"/>
    <x v="5"/>
    <x v="4"/>
    <x v="642"/>
    <x v="641"/>
    <x v="642"/>
  </r>
  <r>
    <n v="1039"/>
    <x v="292"/>
    <x v="4"/>
    <x v="0"/>
    <x v="642"/>
    <x v="45"/>
    <x v="1"/>
    <n v="391.19"/>
    <n v="471.75"/>
    <x v="0"/>
    <n v="0.27"/>
    <x v="0"/>
    <x v="0"/>
    <s v="North-Alice"/>
    <x v="1"/>
    <x v="5"/>
    <x v="643"/>
    <x v="642"/>
    <x v="643"/>
  </r>
  <r>
    <n v="1053"/>
    <x v="54"/>
    <x v="1"/>
    <x v="1"/>
    <x v="643"/>
    <x v="31"/>
    <x v="0"/>
    <n v="2443.5700000000002"/>
    <n v="2943.31"/>
    <x v="1"/>
    <n v="0.28999999999999998"/>
    <x v="0"/>
    <x v="0"/>
    <s v="West-David"/>
    <x v="5"/>
    <x v="0"/>
    <x v="644"/>
    <x v="643"/>
    <x v="644"/>
  </r>
  <r>
    <n v="1042"/>
    <x v="290"/>
    <x v="3"/>
    <x v="2"/>
    <x v="644"/>
    <x v="30"/>
    <x v="2"/>
    <n v="1139.45"/>
    <n v="1454.41"/>
    <x v="0"/>
    <n v="0.3"/>
    <x v="1"/>
    <x v="0"/>
    <s v="South-Eve"/>
    <x v="3"/>
    <x v="3"/>
    <x v="645"/>
    <x v="644"/>
    <x v="645"/>
  </r>
  <r>
    <n v="1058"/>
    <x v="263"/>
    <x v="3"/>
    <x v="3"/>
    <x v="645"/>
    <x v="37"/>
    <x v="0"/>
    <n v="1307.22"/>
    <n v="1528.4"/>
    <x v="0"/>
    <n v="0.24"/>
    <x v="0"/>
    <x v="1"/>
    <s v="East-Eve"/>
    <x v="4"/>
    <x v="1"/>
    <x v="646"/>
    <x v="645"/>
    <x v="646"/>
  </r>
  <r>
    <n v="1039"/>
    <x v="68"/>
    <x v="0"/>
    <x v="3"/>
    <x v="646"/>
    <x v="39"/>
    <x v="3"/>
    <n v="4394.58"/>
    <n v="4545.78"/>
    <x v="0"/>
    <n v="0.2"/>
    <x v="2"/>
    <x v="1"/>
    <s v="East-Bob"/>
    <x v="6"/>
    <x v="3"/>
    <x v="647"/>
    <x v="646"/>
    <x v="647"/>
  </r>
  <r>
    <n v="1014"/>
    <x v="293"/>
    <x v="0"/>
    <x v="1"/>
    <x v="647"/>
    <x v="37"/>
    <x v="0"/>
    <n v="493.35"/>
    <n v="799.27"/>
    <x v="1"/>
    <n v="0.1"/>
    <x v="1"/>
    <x v="0"/>
    <s v="West-Bob"/>
    <x v="9"/>
    <x v="4"/>
    <x v="648"/>
    <x v="647"/>
    <x v="648"/>
  </r>
  <r>
    <n v="1095"/>
    <x v="42"/>
    <x v="3"/>
    <x v="3"/>
    <x v="648"/>
    <x v="25"/>
    <x v="3"/>
    <n v="3591.05"/>
    <n v="3625.35"/>
    <x v="0"/>
    <n v="0.05"/>
    <x v="2"/>
    <x v="1"/>
    <s v="East-Eve"/>
    <x v="4"/>
    <x v="0"/>
    <x v="649"/>
    <x v="648"/>
    <x v="649"/>
  </r>
  <r>
    <n v="1005"/>
    <x v="116"/>
    <x v="3"/>
    <x v="0"/>
    <x v="649"/>
    <x v="39"/>
    <x v="2"/>
    <n v="1392.15"/>
    <n v="1448.54"/>
    <x v="0"/>
    <n v="0.02"/>
    <x v="1"/>
    <x v="1"/>
    <s v="North-Eve"/>
    <x v="10"/>
    <x v="1"/>
    <x v="650"/>
    <x v="649"/>
    <x v="650"/>
  </r>
  <r>
    <n v="1035"/>
    <x v="133"/>
    <x v="1"/>
    <x v="2"/>
    <x v="650"/>
    <x v="2"/>
    <x v="3"/>
    <n v="3813.62"/>
    <n v="3839.72"/>
    <x v="1"/>
    <n v="0.21"/>
    <x v="2"/>
    <x v="0"/>
    <s v="South-David"/>
    <x v="3"/>
    <x v="0"/>
    <x v="651"/>
    <x v="650"/>
    <x v="651"/>
  </r>
  <r>
    <n v="1087"/>
    <x v="285"/>
    <x v="2"/>
    <x v="3"/>
    <x v="651"/>
    <x v="46"/>
    <x v="0"/>
    <n v="3625.94"/>
    <n v="3880.53"/>
    <x v="1"/>
    <n v="0.24"/>
    <x v="1"/>
    <x v="0"/>
    <s v="East-Charlie"/>
    <x v="5"/>
    <x v="3"/>
    <x v="652"/>
    <x v="651"/>
    <x v="652"/>
  </r>
  <r>
    <n v="1093"/>
    <x v="294"/>
    <x v="0"/>
    <x v="2"/>
    <x v="652"/>
    <x v="34"/>
    <x v="1"/>
    <n v="86.59"/>
    <n v="390.89"/>
    <x v="0"/>
    <n v="0.25"/>
    <x v="2"/>
    <x v="0"/>
    <s v="South-Bob"/>
    <x v="6"/>
    <x v="0"/>
    <x v="653"/>
    <x v="652"/>
    <x v="653"/>
  </r>
  <r>
    <n v="1075"/>
    <x v="257"/>
    <x v="2"/>
    <x v="0"/>
    <x v="653"/>
    <x v="40"/>
    <x v="2"/>
    <n v="2570.2199999999998"/>
    <n v="2610.8399999999901"/>
    <x v="0"/>
    <n v="0.27"/>
    <x v="1"/>
    <x v="1"/>
    <s v="North-Charlie"/>
    <x v="3"/>
    <x v="3"/>
    <x v="654"/>
    <x v="653"/>
    <x v="654"/>
  </r>
  <r>
    <n v="1018"/>
    <x v="278"/>
    <x v="1"/>
    <x v="3"/>
    <x v="654"/>
    <x v="44"/>
    <x v="0"/>
    <n v="739.63"/>
    <n v="1103.03"/>
    <x v="1"/>
    <n v="0.26"/>
    <x v="1"/>
    <x v="1"/>
    <s v="East-David"/>
    <x v="2"/>
    <x v="3"/>
    <x v="655"/>
    <x v="654"/>
    <x v="655"/>
  </r>
  <r>
    <n v="1076"/>
    <x v="211"/>
    <x v="3"/>
    <x v="1"/>
    <x v="655"/>
    <x v="5"/>
    <x v="2"/>
    <n v="4337.82"/>
    <n v="4460.71"/>
    <x v="0"/>
    <n v="0.3"/>
    <x v="0"/>
    <x v="1"/>
    <s v="West-Eve"/>
    <x v="1"/>
    <x v="5"/>
    <x v="656"/>
    <x v="655"/>
    <x v="656"/>
  </r>
  <r>
    <n v="1009"/>
    <x v="103"/>
    <x v="2"/>
    <x v="2"/>
    <x v="656"/>
    <x v="15"/>
    <x v="2"/>
    <n v="4364.3500000000004"/>
    <n v="4710.1000000000004"/>
    <x v="1"/>
    <n v="7.0000000000000007E-2"/>
    <x v="2"/>
    <x v="0"/>
    <s v="South-Charlie"/>
    <x v="4"/>
    <x v="1"/>
    <x v="657"/>
    <x v="656"/>
    <x v="657"/>
  </r>
  <r>
    <n v="1074"/>
    <x v="79"/>
    <x v="3"/>
    <x v="0"/>
    <x v="657"/>
    <x v="31"/>
    <x v="0"/>
    <n v="2120.81"/>
    <n v="2611.94"/>
    <x v="0"/>
    <n v="0.23"/>
    <x v="0"/>
    <x v="0"/>
    <s v="North-Eve"/>
    <x v="8"/>
    <x v="2"/>
    <x v="658"/>
    <x v="657"/>
    <x v="658"/>
  </r>
  <r>
    <n v="1058"/>
    <x v="295"/>
    <x v="3"/>
    <x v="2"/>
    <x v="658"/>
    <x v="11"/>
    <x v="0"/>
    <n v="2249.7600000000002"/>
    <n v="2598.4"/>
    <x v="0"/>
    <n v="0.18"/>
    <x v="2"/>
    <x v="1"/>
    <s v="South-Eve"/>
    <x v="4"/>
    <x v="1"/>
    <x v="659"/>
    <x v="658"/>
    <x v="659"/>
  </r>
  <r>
    <n v="1017"/>
    <x v="296"/>
    <x v="4"/>
    <x v="3"/>
    <x v="659"/>
    <x v="19"/>
    <x v="1"/>
    <n v="1551.25"/>
    <n v="1994.01"/>
    <x v="0"/>
    <n v="0.08"/>
    <x v="0"/>
    <x v="0"/>
    <s v="East-Alice"/>
    <x v="9"/>
    <x v="2"/>
    <x v="660"/>
    <x v="659"/>
    <x v="660"/>
  </r>
  <r>
    <n v="1007"/>
    <x v="238"/>
    <x v="2"/>
    <x v="3"/>
    <x v="660"/>
    <x v="4"/>
    <x v="2"/>
    <n v="3597.2"/>
    <n v="4071.8199999999902"/>
    <x v="0"/>
    <n v="0.28999999999999998"/>
    <x v="1"/>
    <x v="0"/>
    <s v="East-Charlie"/>
    <x v="1"/>
    <x v="2"/>
    <x v="661"/>
    <x v="660"/>
    <x v="661"/>
  </r>
  <r>
    <n v="1046"/>
    <x v="91"/>
    <x v="2"/>
    <x v="1"/>
    <x v="661"/>
    <x v="36"/>
    <x v="2"/>
    <n v="1825.37"/>
    <n v="2073.88"/>
    <x v="0"/>
    <n v="0.27"/>
    <x v="0"/>
    <x v="1"/>
    <s v="West-Charlie"/>
    <x v="2"/>
    <x v="5"/>
    <x v="662"/>
    <x v="661"/>
    <x v="662"/>
  </r>
  <r>
    <n v="1013"/>
    <x v="297"/>
    <x v="3"/>
    <x v="0"/>
    <x v="662"/>
    <x v="31"/>
    <x v="0"/>
    <n v="1375.57"/>
    <n v="1729.71"/>
    <x v="1"/>
    <n v="0.04"/>
    <x v="0"/>
    <x v="0"/>
    <s v="North-Eve"/>
    <x v="1"/>
    <x v="2"/>
    <x v="663"/>
    <x v="662"/>
    <x v="663"/>
  </r>
  <r>
    <n v="1040"/>
    <x v="204"/>
    <x v="1"/>
    <x v="0"/>
    <x v="663"/>
    <x v="20"/>
    <x v="3"/>
    <n v="2189.54"/>
    <n v="2617"/>
    <x v="1"/>
    <n v="0.01"/>
    <x v="1"/>
    <x v="0"/>
    <s v="North-David"/>
    <x v="8"/>
    <x v="5"/>
    <x v="664"/>
    <x v="663"/>
    <x v="664"/>
  </r>
  <r>
    <n v="1042"/>
    <x v="127"/>
    <x v="4"/>
    <x v="1"/>
    <x v="664"/>
    <x v="35"/>
    <x v="0"/>
    <n v="502.86"/>
    <n v="687.6"/>
    <x v="0"/>
    <n v="0.21"/>
    <x v="0"/>
    <x v="0"/>
    <s v="West-Alice"/>
    <x v="10"/>
    <x v="6"/>
    <x v="665"/>
    <x v="664"/>
    <x v="665"/>
  </r>
  <r>
    <n v="1009"/>
    <x v="157"/>
    <x v="3"/>
    <x v="1"/>
    <x v="665"/>
    <x v="25"/>
    <x v="2"/>
    <n v="3745.69"/>
    <n v="3883.77"/>
    <x v="0"/>
    <n v="0.18"/>
    <x v="1"/>
    <x v="1"/>
    <s v="West-Eve"/>
    <x v="5"/>
    <x v="5"/>
    <x v="666"/>
    <x v="665"/>
    <x v="666"/>
  </r>
  <r>
    <n v="1050"/>
    <x v="28"/>
    <x v="0"/>
    <x v="0"/>
    <x v="666"/>
    <x v="27"/>
    <x v="0"/>
    <n v="112.35"/>
    <n v="586.17999999999995"/>
    <x v="0"/>
    <n v="0.28000000000000003"/>
    <x v="2"/>
    <x v="1"/>
    <s v="North-Bob"/>
    <x v="10"/>
    <x v="6"/>
    <x v="667"/>
    <x v="666"/>
    <x v="667"/>
  </r>
  <r>
    <n v="1027"/>
    <x v="222"/>
    <x v="0"/>
    <x v="2"/>
    <x v="667"/>
    <x v="33"/>
    <x v="1"/>
    <n v="3240.2"/>
    <n v="3606.0899999999901"/>
    <x v="1"/>
    <n v="7.0000000000000007E-2"/>
    <x v="0"/>
    <x v="0"/>
    <s v="South-Bob"/>
    <x v="11"/>
    <x v="0"/>
    <x v="668"/>
    <x v="667"/>
    <x v="668"/>
  </r>
  <r>
    <n v="1066"/>
    <x v="11"/>
    <x v="4"/>
    <x v="2"/>
    <x v="668"/>
    <x v="46"/>
    <x v="3"/>
    <n v="955.18"/>
    <n v="1072.82"/>
    <x v="1"/>
    <n v="0.03"/>
    <x v="1"/>
    <x v="1"/>
    <s v="South-Alice"/>
    <x v="3"/>
    <x v="4"/>
    <x v="669"/>
    <x v="668"/>
    <x v="669"/>
  </r>
  <r>
    <n v="1005"/>
    <x v="136"/>
    <x v="1"/>
    <x v="1"/>
    <x v="669"/>
    <x v="8"/>
    <x v="0"/>
    <n v="1200.4000000000001"/>
    <n v="1430.45"/>
    <x v="1"/>
    <n v="0.08"/>
    <x v="1"/>
    <x v="1"/>
    <s v="West-David"/>
    <x v="8"/>
    <x v="3"/>
    <x v="670"/>
    <x v="669"/>
    <x v="670"/>
  </r>
  <r>
    <n v="1029"/>
    <x v="277"/>
    <x v="3"/>
    <x v="2"/>
    <x v="670"/>
    <x v="30"/>
    <x v="1"/>
    <n v="3196.38"/>
    <n v="3596.64"/>
    <x v="1"/>
    <n v="0.01"/>
    <x v="0"/>
    <x v="1"/>
    <s v="South-Eve"/>
    <x v="6"/>
    <x v="4"/>
    <x v="671"/>
    <x v="670"/>
    <x v="671"/>
  </r>
  <r>
    <n v="1037"/>
    <x v="231"/>
    <x v="2"/>
    <x v="0"/>
    <x v="671"/>
    <x v="36"/>
    <x v="2"/>
    <n v="4965.07"/>
    <n v="5243.13"/>
    <x v="1"/>
    <n v="0.01"/>
    <x v="2"/>
    <x v="0"/>
    <s v="North-Charlie"/>
    <x v="5"/>
    <x v="4"/>
    <x v="672"/>
    <x v="671"/>
    <x v="672"/>
  </r>
  <r>
    <n v="1038"/>
    <x v="32"/>
    <x v="4"/>
    <x v="3"/>
    <x v="672"/>
    <x v="25"/>
    <x v="0"/>
    <n v="3899.7"/>
    <n v="4228.18"/>
    <x v="1"/>
    <n v="0.27"/>
    <x v="0"/>
    <x v="1"/>
    <s v="East-Alice"/>
    <x v="0"/>
    <x v="1"/>
    <x v="673"/>
    <x v="672"/>
    <x v="673"/>
  </r>
  <r>
    <n v="1083"/>
    <x v="170"/>
    <x v="1"/>
    <x v="3"/>
    <x v="673"/>
    <x v="24"/>
    <x v="2"/>
    <n v="1167.9100000000001"/>
    <n v="1547.26"/>
    <x v="1"/>
    <n v="0.11"/>
    <x v="1"/>
    <x v="0"/>
    <s v="East-David"/>
    <x v="5"/>
    <x v="6"/>
    <x v="674"/>
    <x v="673"/>
    <x v="674"/>
  </r>
  <r>
    <n v="1008"/>
    <x v="70"/>
    <x v="2"/>
    <x v="2"/>
    <x v="674"/>
    <x v="5"/>
    <x v="1"/>
    <n v="921.32"/>
    <n v="1236.0999999999999"/>
    <x v="1"/>
    <n v="0.12"/>
    <x v="2"/>
    <x v="0"/>
    <s v="South-Charlie"/>
    <x v="2"/>
    <x v="4"/>
    <x v="675"/>
    <x v="674"/>
    <x v="675"/>
  </r>
  <r>
    <n v="1065"/>
    <x v="11"/>
    <x v="0"/>
    <x v="1"/>
    <x v="675"/>
    <x v="42"/>
    <x v="2"/>
    <n v="4337.8500000000004"/>
    <n v="4612.49"/>
    <x v="0"/>
    <n v="0.01"/>
    <x v="0"/>
    <x v="1"/>
    <s v="West-Bob"/>
    <x v="3"/>
    <x v="4"/>
    <x v="676"/>
    <x v="675"/>
    <x v="676"/>
  </r>
  <r>
    <n v="1086"/>
    <x v="298"/>
    <x v="0"/>
    <x v="1"/>
    <x v="676"/>
    <x v="44"/>
    <x v="1"/>
    <n v="2248.71"/>
    <n v="2626.02"/>
    <x v="1"/>
    <n v="0.08"/>
    <x v="1"/>
    <x v="0"/>
    <s v="West-Bob"/>
    <x v="10"/>
    <x v="1"/>
    <x v="677"/>
    <x v="676"/>
    <x v="677"/>
  </r>
  <r>
    <n v="1017"/>
    <x v="61"/>
    <x v="2"/>
    <x v="1"/>
    <x v="677"/>
    <x v="39"/>
    <x v="1"/>
    <n v="728.41"/>
    <n v="1094.92"/>
    <x v="1"/>
    <n v="0.24"/>
    <x v="0"/>
    <x v="1"/>
    <s v="West-Charlie"/>
    <x v="0"/>
    <x v="3"/>
    <x v="678"/>
    <x v="677"/>
    <x v="678"/>
  </r>
  <r>
    <n v="1071"/>
    <x v="90"/>
    <x v="4"/>
    <x v="1"/>
    <x v="678"/>
    <x v="26"/>
    <x v="1"/>
    <n v="4317.95"/>
    <n v="4636.59"/>
    <x v="1"/>
    <n v="0.18"/>
    <x v="2"/>
    <x v="1"/>
    <s v="West-Alice"/>
    <x v="8"/>
    <x v="0"/>
    <x v="679"/>
    <x v="678"/>
    <x v="679"/>
  </r>
  <r>
    <n v="1089"/>
    <x v="175"/>
    <x v="0"/>
    <x v="1"/>
    <x v="679"/>
    <x v="11"/>
    <x v="0"/>
    <n v="4089.66"/>
    <n v="4275.96"/>
    <x v="1"/>
    <n v="0.23"/>
    <x v="2"/>
    <x v="0"/>
    <s v="West-Bob"/>
    <x v="2"/>
    <x v="0"/>
    <x v="680"/>
    <x v="679"/>
    <x v="680"/>
  </r>
  <r>
    <n v="1045"/>
    <x v="273"/>
    <x v="3"/>
    <x v="2"/>
    <x v="680"/>
    <x v="14"/>
    <x v="2"/>
    <n v="4920.34"/>
    <n v="5129.1899999999996"/>
    <x v="0"/>
    <n v="0.13"/>
    <x v="2"/>
    <x v="0"/>
    <s v="South-Eve"/>
    <x v="6"/>
    <x v="5"/>
    <x v="681"/>
    <x v="680"/>
    <x v="681"/>
  </r>
  <r>
    <n v="1004"/>
    <x v="59"/>
    <x v="2"/>
    <x v="3"/>
    <x v="681"/>
    <x v="26"/>
    <x v="2"/>
    <n v="4553.2299999999996"/>
    <n v="5038.74"/>
    <x v="1"/>
    <n v="0.09"/>
    <x v="2"/>
    <x v="1"/>
    <s v="East-Charlie"/>
    <x v="4"/>
    <x v="0"/>
    <x v="682"/>
    <x v="681"/>
    <x v="682"/>
  </r>
  <r>
    <n v="1036"/>
    <x v="299"/>
    <x v="2"/>
    <x v="3"/>
    <x v="682"/>
    <x v="42"/>
    <x v="3"/>
    <n v="4266.3599999999997"/>
    <n v="4331.4299999999903"/>
    <x v="0"/>
    <n v="0.14000000000000001"/>
    <x v="2"/>
    <x v="1"/>
    <s v="East-Charlie"/>
    <x v="0"/>
    <x v="4"/>
    <x v="683"/>
    <x v="682"/>
    <x v="683"/>
  </r>
  <r>
    <n v="1070"/>
    <x v="94"/>
    <x v="0"/>
    <x v="2"/>
    <x v="683"/>
    <x v="14"/>
    <x v="3"/>
    <n v="310.24"/>
    <n v="451.81"/>
    <x v="0"/>
    <n v="0.1"/>
    <x v="0"/>
    <x v="1"/>
    <s v="South-Bob"/>
    <x v="8"/>
    <x v="5"/>
    <x v="684"/>
    <x v="683"/>
    <x v="684"/>
  </r>
  <r>
    <n v="1031"/>
    <x v="273"/>
    <x v="4"/>
    <x v="1"/>
    <x v="684"/>
    <x v="15"/>
    <x v="3"/>
    <n v="566.86"/>
    <n v="818.14"/>
    <x v="0"/>
    <n v="0.25"/>
    <x v="2"/>
    <x v="1"/>
    <s v="West-Alice"/>
    <x v="6"/>
    <x v="5"/>
    <x v="685"/>
    <x v="684"/>
    <x v="685"/>
  </r>
  <r>
    <n v="1019"/>
    <x v="300"/>
    <x v="3"/>
    <x v="2"/>
    <x v="685"/>
    <x v="5"/>
    <x v="3"/>
    <n v="2866.47"/>
    <n v="3286.47"/>
    <x v="1"/>
    <n v="0.09"/>
    <x v="2"/>
    <x v="0"/>
    <s v="South-Eve"/>
    <x v="7"/>
    <x v="6"/>
    <x v="686"/>
    <x v="685"/>
    <x v="686"/>
  </r>
  <r>
    <n v="1061"/>
    <x v="228"/>
    <x v="4"/>
    <x v="3"/>
    <x v="686"/>
    <x v="24"/>
    <x v="2"/>
    <n v="2680.82"/>
    <n v="2771.02"/>
    <x v="1"/>
    <n v="0.2"/>
    <x v="1"/>
    <x v="0"/>
    <s v="East-Alice"/>
    <x v="4"/>
    <x v="6"/>
    <x v="687"/>
    <x v="686"/>
    <x v="687"/>
  </r>
  <r>
    <n v="1054"/>
    <x v="194"/>
    <x v="1"/>
    <x v="0"/>
    <x v="687"/>
    <x v="10"/>
    <x v="1"/>
    <n v="2316.92"/>
    <n v="2462.63"/>
    <x v="1"/>
    <n v="0.04"/>
    <x v="2"/>
    <x v="0"/>
    <s v="North-David"/>
    <x v="1"/>
    <x v="4"/>
    <x v="688"/>
    <x v="687"/>
    <x v="688"/>
  </r>
  <r>
    <n v="1039"/>
    <x v="32"/>
    <x v="1"/>
    <x v="2"/>
    <x v="688"/>
    <x v="46"/>
    <x v="1"/>
    <n v="2014.11"/>
    <n v="2056.35"/>
    <x v="0"/>
    <n v="0.21"/>
    <x v="1"/>
    <x v="1"/>
    <s v="South-David"/>
    <x v="0"/>
    <x v="1"/>
    <x v="689"/>
    <x v="688"/>
    <x v="689"/>
  </r>
  <r>
    <n v="1091"/>
    <x v="275"/>
    <x v="0"/>
    <x v="1"/>
    <x v="689"/>
    <x v="3"/>
    <x v="0"/>
    <n v="2184.4899999999998"/>
    <n v="2540.4199999999901"/>
    <x v="0"/>
    <n v="0.27"/>
    <x v="1"/>
    <x v="0"/>
    <s v="West-Bob"/>
    <x v="7"/>
    <x v="2"/>
    <x v="690"/>
    <x v="689"/>
    <x v="690"/>
  </r>
  <r>
    <n v="1074"/>
    <x v="185"/>
    <x v="0"/>
    <x v="3"/>
    <x v="690"/>
    <x v="39"/>
    <x v="1"/>
    <n v="2868.02"/>
    <n v="2994.74"/>
    <x v="0"/>
    <n v="0.18"/>
    <x v="1"/>
    <x v="0"/>
    <s v="East-Bob"/>
    <x v="3"/>
    <x v="2"/>
    <x v="691"/>
    <x v="690"/>
    <x v="691"/>
  </r>
  <r>
    <n v="1090"/>
    <x v="24"/>
    <x v="0"/>
    <x v="3"/>
    <x v="691"/>
    <x v="21"/>
    <x v="2"/>
    <n v="60.28"/>
    <n v="260.73"/>
    <x v="0"/>
    <n v="0.17"/>
    <x v="0"/>
    <x v="0"/>
    <s v="East-Bob"/>
    <x v="8"/>
    <x v="3"/>
    <x v="692"/>
    <x v="691"/>
    <x v="692"/>
  </r>
  <r>
    <n v="1019"/>
    <x v="89"/>
    <x v="1"/>
    <x v="3"/>
    <x v="692"/>
    <x v="43"/>
    <x v="2"/>
    <n v="1340.51"/>
    <n v="1567.92"/>
    <x v="1"/>
    <n v="0.28999999999999998"/>
    <x v="0"/>
    <x v="0"/>
    <s v="East-David"/>
    <x v="9"/>
    <x v="0"/>
    <x v="693"/>
    <x v="692"/>
    <x v="693"/>
  </r>
  <r>
    <n v="1039"/>
    <x v="137"/>
    <x v="4"/>
    <x v="3"/>
    <x v="693"/>
    <x v="38"/>
    <x v="2"/>
    <n v="2615.48"/>
    <n v="3062.22"/>
    <x v="1"/>
    <n v="0.19"/>
    <x v="1"/>
    <x v="1"/>
    <s v="East-Alice"/>
    <x v="1"/>
    <x v="3"/>
    <x v="694"/>
    <x v="693"/>
    <x v="694"/>
  </r>
  <r>
    <n v="1067"/>
    <x v="301"/>
    <x v="4"/>
    <x v="1"/>
    <x v="694"/>
    <x v="30"/>
    <x v="0"/>
    <n v="3624.97"/>
    <n v="3836.52"/>
    <x v="1"/>
    <n v="0.08"/>
    <x v="0"/>
    <x v="0"/>
    <s v="West-Alice"/>
    <x v="11"/>
    <x v="6"/>
    <x v="695"/>
    <x v="694"/>
    <x v="695"/>
  </r>
  <r>
    <n v="1045"/>
    <x v="204"/>
    <x v="0"/>
    <x v="0"/>
    <x v="695"/>
    <x v="39"/>
    <x v="3"/>
    <n v="912.08"/>
    <n v="993.24"/>
    <x v="0"/>
    <n v="0.09"/>
    <x v="2"/>
    <x v="0"/>
    <s v="North-Bob"/>
    <x v="8"/>
    <x v="5"/>
    <x v="696"/>
    <x v="695"/>
    <x v="696"/>
  </r>
  <r>
    <n v="1013"/>
    <x v="302"/>
    <x v="3"/>
    <x v="3"/>
    <x v="696"/>
    <x v="17"/>
    <x v="1"/>
    <n v="2757.06"/>
    <n v="3023.97"/>
    <x v="0"/>
    <n v="0.21"/>
    <x v="0"/>
    <x v="0"/>
    <s v="East-Eve"/>
    <x v="0"/>
    <x v="2"/>
    <x v="697"/>
    <x v="696"/>
    <x v="697"/>
  </r>
  <r>
    <n v="1092"/>
    <x v="32"/>
    <x v="4"/>
    <x v="2"/>
    <x v="697"/>
    <x v="28"/>
    <x v="2"/>
    <n v="3586.58"/>
    <n v="4068.43"/>
    <x v="1"/>
    <n v="0.22"/>
    <x v="2"/>
    <x v="0"/>
    <s v="South-Alice"/>
    <x v="0"/>
    <x v="1"/>
    <x v="698"/>
    <x v="697"/>
    <x v="698"/>
  </r>
  <r>
    <n v="1058"/>
    <x v="266"/>
    <x v="1"/>
    <x v="0"/>
    <x v="698"/>
    <x v="39"/>
    <x v="2"/>
    <n v="2250.91"/>
    <n v="2558.6799999999998"/>
    <x v="1"/>
    <n v="0.09"/>
    <x v="2"/>
    <x v="1"/>
    <s v="North-David"/>
    <x v="9"/>
    <x v="6"/>
    <x v="699"/>
    <x v="698"/>
    <x v="699"/>
  </r>
  <r>
    <n v="1020"/>
    <x v="32"/>
    <x v="2"/>
    <x v="3"/>
    <x v="699"/>
    <x v="6"/>
    <x v="3"/>
    <n v="184.05"/>
    <n v="675.91"/>
    <x v="0"/>
    <n v="0.1"/>
    <x v="0"/>
    <x v="1"/>
    <s v="East-Charlie"/>
    <x v="0"/>
    <x v="1"/>
    <x v="700"/>
    <x v="699"/>
    <x v="700"/>
  </r>
  <r>
    <n v="1092"/>
    <x v="171"/>
    <x v="2"/>
    <x v="0"/>
    <x v="700"/>
    <x v="13"/>
    <x v="2"/>
    <n v="2273.88"/>
    <n v="2696.02"/>
    <x v="1"/>
    <n v="0.3"/>
    <x v="0"/>
    <x v="0"/>
    <s v="North-Charlie"/>
    <x v="9"/>
    <x v="6"/>
    <x v="701"/>
    <x v="700"/>
    <x v="701"/>
  </r>
  <r>
    <n v="1072"/>
    <x v="104"/>
    <x v="2"/>
    <x v="2"/>
    <x v="701"/>
    <x v="26"/>
    <x v="1"/>
    <n v="1517.4"/>
    <n v="1545.02"/>
    <x v="1"/>
    <n v="0.03"/>
    <x v="1"/>
    <x v="1"/>
    <s v="South-Charlie"/>
    <x v="3"/>
    <x v="0"/>
    <x v="702"/>
    <x v="701"/>
    <x v="702"/>
  </r>
  <r>
    <n v="1061"/>
    <x v="15"/>
    <x v="3"/>
    <x v="3"/>
    <x v="702"/>
    <x v="35"/>
    <x v="0"/>
    <n v="4651.7700000000004"/>
    <n v="4984.3900000000003"/>
    <x v="0"/>
    <n v="0.12"/>
    <x v="0"/>
    <x v="1"/>
    <s v="East-Eve"/>
    <x v="7"/>
    <x v="4"/>
    <x v="703"/>
    <x v="702"/>
    <x v="703"/>
  </r>
  <r>
    <n v="1039"/>
    <x v="291"/>
    <x v="0"/>
    <x v="2"/>
    <x v="703"/>
    <x v="40"/>
    <x v="2"/>
    <n v="666.84"/>
    <n v="817.36"/>
    <x v="0"/>
    <n v="0.02"/>
    <x v="0"/>
    <x v="1"/>
    <s v="South-Bob"/>
    <x v="2"/>
    <x v="3"/>
    <x v="704"/>
    <x v="703"/>
    <x v="704"/>
  </r>
  <r>
    <n v="1001"/>
    <x v="133"/>
    <x v="1"/>
    <x v="1"/>
    <x v="704"/>
    <x v="46"/>
    <x v="1"/>
    <n v="3279.76"/>
    <n v="3563.97"/>
    <x v="0"/>
    <n v="0.25"/>
    <x v="0"/>
    <x v="1"/>
    <s v="West-David"/>
    <x v="3"/>
    <x v="0"/>
    <x v="705"/>
    <x v="704"/>
    <x v="705"/>
  </r>
  <r>
    <n v="1003"/>
    <x v="216"/>
    <x v="3"/>
    <x v="3"/>
    <x v="705"/>
    <x v="3"/>
    <x v="2"/>
    <n v="310.95999999999998"/>
    <n v="457.84"/>
    <x v="1"/>
    <n v="0.03"/>
    <x v="2"/>
    <x v="0"/>
    <s v="East-Eve"/>
    <x v="10"/>
    <x v="2"/>
    <x v="706"/>
    <x v="705"/>
    <x v="706"/>
  </r>
  <r>
    <n v="1077"/>
    <x v="303"/>
    <x v="1"/>
    <x v="3"/>
    <x v="706"/>
    <x v="38"/>
    <x v="3"/>
    <n v="2258.54"/>
    <n v="2439.4899999999998"/>
    <x v="0"/>
    <n v="0.2"/>
    <x v="2"/>
    <x v="1"/>
    <s v="East-David"/>
    <x v="9"/>
    <x v="2"/>
    <x v="707"/>
    <x v="706"/>
    <x v="707"/>
  </r>
  <r>
    <n v="1092"/>
    <x v="74"/>
    <x v="1"/>
    <x v="3"/>
    <x v="707"/>
    <x v="9"/>
    <x v="2"/>
    <n v="2792.2"/>
    <n v="3254.5499999999902"/>
    <x v="1"/>
    <n v="0.02"/>
    <x v="2"/>
    <x v="1"/>
    <s v="East-David"/>
    <x v="6"/>
    <x v="2"/>
    <x v="708"/>
    <x v="707"/>
    <x v="708"/>
  </r>
  <r>
    <n v="1062"/>
    <x v="154"/>
    <x v="0"/>
    <x v="3"/>
    <x v="708"/>
    <x v="15"/>
    <x v="2"/>
    <n v="1524.88"/>
    <n v="1636.14"/>
    <x v="1"/>
    <n v="0.2"/>
    <x v="1"/>
    <x v="0"/>
    <s v="East-Bob"/>
    <x v="1"/>
    <x v="5"/>
    <x v="709"/>
    <x v="708"/>
    <x v="709"/>
  </r>
  <r>
    <n v="1063"/>
    <x v="111"/>
    <x v="2"/>
    <x v="1"/>
    <x v="709"/>
    <x v="7"/>
    <x v="0"/>
    <n v="2302.62"/>
    <n v="2740.93"/>
    <x v="0"/>
    <n v="0.25"/>
    <x v="1"/>
    <x v="0"/>
    <s v="West-Charlie"/>
    <x v="9"/>
    <x v="3"/>
    <x v="710"/>
    <x v="709"/>
    <x v="710"/>
  </r>
  <r>
    <n v="1025"/>
    <x v="229"/>
    <x v="0"/>
    <x v="3"/>
    <x v="710"/>
    <x v="28"/>
    <x v="3"/>
    <n v="859.59"/>
    <n v="884.51"/>
    <x v="1"/>
    <n v="0.12"/>
    <x v="1"/>
    <x v="0"/>
    <s v="East-Bob"/>
    <x v="0"/>
    <x v="3"/>
    <x v="711"/>
    <x v="710"/>
    <x v="711"/>
  </r>
  <r>
    <n v="1056"/>
    <x v="229"/>
    <x v="3"/>
    <x v="0"/>
    <x v="711"/>
    <x v="35"/>
    <x v="3"/>
    <n v="1555.41"/>
    <n v="1609.94"/>
    <x v="0"/>
    <n v="0.16"/>
    <x v="2"/>
    <x v="0"/>
    <s v="North-Eve"/>
    <x v="0"/>
    <x v="3"/>
    <x v="712"/>
    <x v="711"/>
    <x v="712"/>
  </r>
  <r>
    <n v="1033"/>
    <x v="304"/>
    <x v="3"/>
    <x v="3"/>
    <x v="712"/>
    <x v="0"/>
    <x v="0"/>
    <n v="3124.48"/>
    <n v="3553.27"/>
    <x v="0"/>
    <n v="0.12"/>
    <x v="0"/>
    <x v="1"/>
    <s v="East-Eve"/>
    <x v="7"/>
    <x v="3"/>
    <x v="713"/>
    <x v="712"/>
    <x v="713"/>
  </r>
  <r>
    <n v="1038"/>
    <x v="305"/>
    <x v="3"/>
    <x v="1"/>
    <x v="713"/>
    <x v="38"/>
    <x v="2"/>
    <n v="1543.91"/>
    <n v="1862.88"/>
    <x v="1"/>
    <n v="0.09"/>
    <x v="1"/>
    <x v="0"/>
    <s v="West-Eve"/>
    <x v="6"/>
    <x v="5"/>
    <x v="714"/>
    <x v="713"/>
    <x v="714"/>
  </r>
  <r>
    <n v="1006"/>
    <x v="278"/>
    <x v="0"/>
    <x v="3"/>
    <x v="714"/>
    <x v="28"/>
    <x v="1"/>
    <n v="4503.7299999999996"/>
    <n v="4879.8799999999901"/>
    <x v="1"/>
    <n v="0.24"/>
    <x v="1"/>
    <x v="1"/>
    <s v="East-Bob"/>
    <x v="2"/>
    <x v="3"/>
    <x v="715"/>
    <x v="714"/>
    <x v="715"/>
  </r>
  <r>
    <n v="1058"/>
    <x v="147"/>
    <x v="1"/>
    <x v="0"/>
    <x v="715"/>
    <x v="24"/>
    <x v="3"/>
    <n v="3160.61"/>
    <n v="3273.22"/>
    <x v="0"/>
    <n v="0.08"/>
    <x v="2"/>
    <x v="1"/>
    <s v="North-David"/>
    <x v="9"/>
    <x v="0"/>
    <x v="716"/>
    <x v="715"/>
    <x v="716"/>
  </r>
  <r>
    <n v="1044"/>
    <x v="306"/>
    <x v="1"/>
    <x v="1"/>
    <x v="716"/>
    <x v="26"/>
    <x v="3"/>
    <n v="2221.31"/>
    <n v="2494.48"/>
    <x v="0"/>
    <n v="0.22"/>
    <x v="1"/>
    <x v="0"/>
    <s v="West-David"/>
    <x v="0"/>
    <x v="3"/>
    <x v="717"/>
    <x v="716"/>
    <x v="717"/>
  </r>
  <r>
    <n v="1045"/>
    <x v="307"/>
    <x v="4"/>
    <x v="1"/>
    <x v="717"/>
    <x v="33"/>
    <x v="2"/>
    <n v="241.85"/>
    <n v="613.09"/>
    <x v="0"/>
    <n v="0.06"/>
    <x v="0"/>
    <x v="0"/>
    <s v="West-Alice"/>
    <x v="9"/>
    <x v="4"/>
    <x v="718"/>
    <x v="717"/>
    <x v="718"/>
  </r>
  <r>
    <n v="1032"/>
    <x v="253"/>
    <x v="3"/>
    <x v="0"/>
    <x v="718"/>
    <x v="32"/>
    <x v="2"/>
    <n v="2522.7600000000002"/>
    <n v="2840.14"/>
    <x v="0"/>
    <n v="7.0000000000000007E-2"/>
    <x v="2"/>
    <x v="1"/>
    <s v="North-Eve"/>
    <x v="6"/>
    <x v="0"/>
    <x v="719"/>
    <x v="718"/>
    <x v="719"/>
  </r>
  <r>
    <n v="1045"/>
    <x v="277"/>
    <x v="1"/>
    <x v="0"/>
    <x v="719"/>
    <x v="43"/>
    <x v="3"/>
    <n v="3835.64"/>
    <n v="4076.77"/>
    <x v="0"/>
    <n v="0.1"/>
    <x v="2"/>
    <x v="1"/>
    <s v="North-David"/>
    <x v="6"/>
    <x v="4"/>
    <x v="720"/>
    <x v="719"/>
    <x v="720"/>
  </r>
  <r>
    <n v="1061"/>
    <x v="64"/>
    <x v="4"/>
    <x v="0"/>
    <x v="720"/>
    <x v="27"/>
    <x v="2"/>
    <n v="1364.51"/>
    <n v="1844.8"/>
    <x v="0"/>
    <n v="0.18"/>
    <x v="0"/>
    <x v="0"/>
    <s v="North-Alice"/>
    <x v="9"/>
    <x v="0"/>
    <x v="721"/>
    <x v="720"/>
    <x v="721"/>
  </r>
  <r>
    <n v="1047"/>
    <x v="308"/>
    <x v="1"/>
    <x v="0"/>
    <x v="721"/>
    <x v="43"/>
    <x v="1"/>
    <n v="4043.53"/>
    <n v="4384.8500000000004"/>
    <x v="1"/>
    <n v="0.14000000000000001"/>
    <x v="0"/>
    <x v="0"/>
    <s v="North-David"/>
    <x v="11"/>
    <x v="4"/>
    <x v="722"/>
    <x v="721"/>
    <x v="722"/>
  </r>
  <r>
    <n v="1021"/>
    <x v="309"/>
    <x v="3"/>
    <x v="0"/>
    <x v="722"/>
    <x v="33"/>
    <x v="3"/>
    <n v="1296.44"/>
    <n v="1751.24"/>
    <x v="1"/>
    <n v="0.22"/>
    <x v="0"/>
    <x v="0"/>
    <s v="North-Eve"/>
    <x v="6"/>
    <x v="5"/>
    <x v="723"/>
    <x v="722"/>
    <x v="723"/>
  </r>
  <r>
    <n v="1080"/>
    <x v="217"/>
    <x v="2"/>
    <x v="1"/>
    <x v="723"/>
    <x v="28"/>
    <x v="1"/>
    <n v="4127.54"/>
    <n v="4495.13"/>
    <x v="1"/>
    <n v="0.06"/>
    <x v="1"/>
    <x v="1"/>
    <s v="West-Charlie"/>
    <x v="11"/>
    <x v="0"/>
    <x v="724"/>
    <x v="723"/>
    <x v="724"/>
  </r>
  <r>
    <n v="1085"/>
    <x v="212"/>
    <x v="3"/>
    <x v="1"/>
    <x v="724"/>
    <x v="25"/>
    <x v="1"/>
    <n v="472.08"/>
    <n v="842.46"/>
    <x v="1"/>
    <n v="0"/>
    <x v="0"/>
    <x v="1"/>
    <s v="West-Eve"/>
    <x v="5"/>
    <x v="2"/>
    <x v="725"/>
    <x v="724"/>
    <x v="725"/>
  </r>
  <r>
    <n v="1075"/>
    <x v="48"/>
    <x v="0"/>
    <x v="3"/>
    <x v="725"/>
    <x v="43"/>
    <x v="2"/>
    <n v="4337.6099999999997"/>
    <n v="4386.82"/>
    <x v="0"/>
    <n v="0.23"/>
    <x v="2"/>
    <x v="0"/>
    <s v="East-Bob"/>
    <x v="10"/>
    <x v="2"/>
    <x v="726"/>
    <x v="725"/>
    <x v="726"/>
  </r>
  <r>
    <n v="1036"/>
    <x v="236"/>
    <x v="1"/>
    <x v="3"/>
    <x v="726"/>
    <x v="44"/>
    <x v="1"/>
    <n v="2520.9699999999998"/>
    <n v="2707.1099999999901"/>
    <x v="1"/>
    <n v="0.25"/>
    <x v="0"/>
    <x v="1"/>
    <s v="East-David"/>
    <x v="3"/>
    <x v="6"/>
    <x v="727"/>
    <x v="726"/>
    <x v="727"/>
  </r>
  <r>
    <n v="1099"/>
    <x v="306"/>
    <x v="1"/>
    <x v="2"/>
    <x v="727"/>
    <x v="5"/>
    <x v="2"/>
    <n v="1517.86"/>
    <n v="1948.46"/>
    <x v="1"/>
    <n v="0.02"/>
    <x v="2"/>
    <x v="0"/>
    <s v="South-David"/>
    <x v="0"/>
    <x v="3"/>
    <x v="728"/>
    <x v="727"/>
    <x v="728"/>
  </r>
  <r>
    <n v="1019"/>
    <x v="310"/>
    <x v="0"/>
    <x v="3"/>
    <x v="728"/>
    <x v="19"/>
    <x v="0"/>
    <n v="1362.31"/>
    <n v="1486.29"/>
    <x v="0"/>
    <n v="0.18"/>
    <x v="2"/>
    <x v="1"/>
    <s v="East-Bob"/>
    <x v="8"/>
    <x v="0"/>
    <x v="729"/>
    <x v="728"/>
    <x v="729"/>
  </r>
  <r>
    <n v="1020"/>
    <x v="207"/>
    <x v="0"/>
    <x v="3"/>
    <x v="729"/>
    <x v="27"/>
    <x v="2"/>
    <n v="2188.4499999999998"/>
    <n v="2255.0499999999902"/>
    <x v="1"/>
    <n v="0.11"/>
    <x v="1"/>
    <x v="1"/>
    <s v="East-Bob"/>
    <x v="2"/>
    <x v="6"/>
    <x v="730"/>
    <x v="729"/>
    <x v="730"/>
  </r>
  <r>
    <n v="1057"/>
    <x v="31"/>
    <x v="2"/>
    <x v="0"/>
    <x v="730"/>
    <x v="43"/>
    <x v="1"/>
    <n v="4995.3"/>
    <n v="5165.09"/>
    <x v="0"/>
    <n v="0.24"/>
    <x v="0"/>
    <x v="0"/>
    <s v="North-Charlie"/>
    <x v="5"/>
    <x v="3"/>
    <x v="731"/>
    <x v="730"/>
    <x v="731"/>
  </r>
  <r>
    <n v="1018"/>
    <x v="112"/>
    <x v="1"/>
    <x v="0"/>
    <x v="731"/>
    <x v="46"/>
    <x v="0"/>
    <n v="1140.6199999999999"/>
    <n v="1258.6299999999901"/>
    <x v="0"/>
    <n v="0.26"/>
    <x v="1"/>
    <x v="0"/>
    <s v="North-David"/>
    <x v="5"/>
    <x v="4"/>
    <x v="732"/>
    <x v="731"/>
    <x v="732"/>
  </r>
  <r>
    <n v="1047"/>
    <x v="294"/>
    <x v="1"/>
    <x v="3"/>
    <x v="732"/>
    <x v="0"/>
    <x v="2"/>
    <n v="560.91999999999996"/>
    <n v="1024.31"/>
    <x v="0"/>
    <n v="0.26"/>
    <x v="0"/>
    <x v="0"/>
    <s v="East-David"/>
    <x v="6"/>
    <x v="0"/>
    <x v="733"/>
    <x v="732"/>
    <x v="733"/>
  </r>
  <r>
    <n v="1049"/>
    <x v="147"/>
    <x v="2"/>
    <x v="2"/>
    <x v="733"/>
    <x v="34"/>
    <x v="1"/>
    <n v="2945.92"/>
    <n v="3381.22"/>
    <x v="0"/>
    <n v="0.23"/>
    <x v="0"/>
    <x v="1"/>
    <s v="South-Charlie"/>
    <x v="9"/>
    <x v="0"/>
    <x v="734"/>
    <x v="733"/>
    <x v="734"/>
  </r>
  <r>
    <n v="1014"/>
    <x v="189"/>
    <x v="4"/>
    <x v="0"/>
    <x v="734"/>
    <x v="45"/>
    <x v="3"/>
    <n v="2468.29"/>
    <n v="2723.13"/>
    <x v="0"/>
    <n v="0.08"/>
    <x v="0"/>
    <x v="1"/>
    <s v="North-Alice"/>
    <x v="6"/>
    <x v="6"/>
    <x v="735"/>
    <x v="734"/>
    <x v="735"/>
  </r>
  <r>
    <n v="1015"/>
    <x v="118"/>
    <x v="2"/>
    <x v="3"/>
    <x v="735"/>
    <x v="18"/>
    <x v="3"/>
    <n v="2644.77"/>
    <n v="2684.83"/>
    <x v="1"/>
    <n v="0.24"/>
    <x v="0"/>
    <x v="0"/>
    <s v="East-Charlie"/>
    <x v="0"/>
    <x v="6"/>
    <x v="736"/>
    <x v="735"/>
    <x v="736"/>
  </r>
  <r>
    <n v="1031"/>
    <x v="218"/>
    <x v="3"/>
    <x v="3"/>
    <x v="736"/>
    <x v="5"/>
    <x v="2"/>
    <n v="3351.33"/>
    <n v="3711.47"/>
    <x v="1"/>
    <n v="0.16"/>
    <x v="0"/>
    <x v="1"/>
    <s v="East-Eve"/>
    <x v="4"/>
    <x v="1"/>
    <x v="737"/>
    <x v="736"/>
    <x v="737"/>
  </r>
  <r>
    <n v="1001"/>
    <x v="64"/>
    <x v="1"/>
    <x v="1"/>
    <x v="737"/>
    <x v="27"/>
    <x v="2"/>
    <n v="1372.36"/>
    <n v="1687.83"/>
    <x v="1"/>
    <n v="0.02"/>
    <x v="2"/>
    <x v="0"/>
    <s v="West-David"/>
    <x v="9"/>
    <x v="0"/>
    <x v="738"/>
    <x v="737"/>
    <x v="738"/>
  </r>
  <r>
    <n v="1054"/>
    <x v="311"/>
    <x v="0"/>
    <x v="2"/>
    <x v="738"/>
    <x v="25"/>
    <x v="3"/>
    <n v="4557.79"/>
    <n v="5043.3599999999997"/>
    <x v="0"/>
    <n v="0.14000000000000001"/>
    <x v="2"/>
    <x v="1"/>
    <s v="South-Bob"/>
    <x v="2"/>
    <x v="0"/>
    <x v="739"/>
    <x v="738"/>
    <x v="739"/>
  </r>
  <r>
    <n v="1003"/>
    <x v="312"/>
    <x v="3"/>
    <x v="1"/>
    <x v="739"/>
    <x v="47"/>
    <x v="1"/>
    <n v="2206.58"/>
    <n v="2490.4699999999998"/>
    <x v="1"/>
    <n v="0.28000000000000003"/>
    <x v="0"/>
    <x v="0"/>
    <s v="West-Eve"/>
    <x v="11"/>
    <x v="3"/>
    <x v="740"/>
    <x v="739"/>
    <x v="740"/>
  </r>
  <r>
    <n v="1016"/>
    <x v="313"/>
    <x v="1"/>
    <x v="2"/>
    <x v="740"/>
    <x v="41"/>
    <x v="1"/>
    <n v="688.98"/>
    <n v="863.81"/>
    <x v="1"/>
    <n v="0.27"/>
    <x v="2"/>
    <x v="1"/>
    <s v="South-David"/>
    <x v="4"/>
    <x v="2"/>
    <x v="741"/>
    <x v="740"/>
    <x v="741"/>
  </r>
  <r>
    <n v="1087"/>
    <x v="267"/>
    <x v="2"/>
    <x v="0"/>
    <x v="741"/>
    <x v="9"/>
    <x v="1"/>
    <n v="3724.38"/>
    <n v="3988.7"/>
    <x v="1"/>
    <n v="0.03"/>
    <x v="1"/>
    <x v="1"/>
    <s v="North-Charlie"/>
    <x v="5"/>
    <x v="1"/>
    <x v="742"/>
    <x v="741"/>
    <x v="742"/>
  </r>
  <r>
    <n v="1057"/>
    <x v="105"/>
    <x v="3"/>
    <x v="2"/>
    <x v="742"/>
    <x v="11"/>
    <x v="2"/>
    <n v="3233.37"/>
    <n v="3723.21"/>
    <x v="1"/>
    <n v="0.22"/>
    <x v="1"/>
    <x v="1"/>
    <s v="South-Eve"/>
    <x v="7"/>
    <x v="5"/>
    <x v="743"/>
    <x v="742"/>
    <x v="743"/>
  </r>
  <r>
    <n v="1075"/>
    <x v="185"/>
    <x v="1"/>
    <x v="3"/>
    <x v="743"/>
    <x v="28"/>
    <x v="0"/>
    <n v="1612.93"/>
    <n v="1964.15"/>
    <x v="0"/>
    <n v="0.24"/>
    <x v="1"/>
    <x v="1"/>
    <s v="East-David"/>
    <x v="3"/>
    <x v="2"/>
    <x v="744"/>
    <x v="743"/>
    <x v="744"/>
  </r>
  <r>
    <n v="1012"/>
    <x v="73"/>
    <x v="4"/>
    <x v="3"/>
    <x v="744"/>
    <x v="3"/>
    <x v="0"/>
    <n v="3126.52"/>
    <n v="3465.79"/>
    <x v="1"/>
    <n v="0.08"/>
    <x v="0"/>
    <x v="0"/>
    <s v="East-Alice"/>
    <x v="5"/>
    <x v="0"/>
    <x v="745"/>
    <x v="744"/>
    <x v="745"/>
  </r>
  <r>
    <n v="1074"/>
    <x v="248"/>
    <x v="4"/>
    <x v="2"/>
    <x v="745"/>
    <x v="17"/>
    <x v="0"/>
    <n v="1138.32"/>
    <n v="1266.25"/>
    <x v="0"/>
    <n v="0.14000000000000001"/>
    <x v="0"/>
    <x v="1"/>
    <s v="South-Alice"/>
    <x v="0"/>
    <x v="6"/>
    <x v="746"/>
    <x v="745"/>
    <x v="746"/>
  </r>
  <r>
    <n v="1096"/>
    <x v="309"/>
    <x v="0"/>
    <x v="2"/>
    <x v="746"/>
    <x v="28"/>
    <x v="0"/>
    <n v="2251.9499999999998"/>
    <n v="2626.3199999999902"/>
    <x v="0"/>
    <n v="0.21"/>
    <x v="2"/>
    <x v="0"/>
    <s v="South-Bob"/>
    <x v="6"/>
    <x v="5"/>
    <x v="747"/>
    <x v="746"/>
    <x v="747"/>
  </r>
  <r>
    <n v="1016"/>
    <x v="55"/>
    <x v="1"/>
    <x v="2"/>
    <x v="747"/>
    <x v="32"/>
    <x v="0"/>
    <n v="4502.09"/>
    <n v="4879.72"/>
    <x v="1"/>
    <n v="0.13"/>
    <x v="2"/>
    <x v="0"/>
    <s v="South-David"/>
    <x v="1"/>
    <x v="5"/>
    <x v="748"/>
    <x v="747"/>
    <x v="748"/>
  </r>
  <r>
    <n v="1072"/>
    <x v="314"/>
    <x v="4"/>
    <x v="1"/>
    <x v="748"/>
    <x v="26"/>
    <x v="2"/>
    <n v="710.99"/>
    <n v="876.46"/>
    <x v="0"/>
    <n v="0.03"/>
    <x v="2"/>
    <x v="0"/>
    <s v="West-Alice"/>
    <x v="3"/>
    <x v="4"/>
    <x v="749"/>
    <x v="748"/>
    <x v="749"/>
  </r>
  <r>
    <n v="1076"/>
    <x v="172"/>
    <x v="2"/>
    <x v="2"/>
    <x v="749"/>
    <x v="25"/>
    <x v="2"/>
    <n v="1964.15"/>
    <n v="2211.17"/>
    <x v="0"/>
    <n v="0.21"/>
    <x v="1"/>
    <x v="0"/>
    <s v="South-Charlie"/>
    <x v="5"/>
    <x v="3"/>
    <x v="750"/>
    <x v="749"/>
    <x v="750"/>
  </r>
  <r>
    <n v="1024"/>
    <x v="143"/>
    <x v="1"/>
    <x v="0"/>
    <x v="750"/>
    <x v="1"/>
    <x v="0"/>
    <n v="4114.66"/>
    <n v="4269.0199999999904"/>
    <x v="0"/>
    <n v="0.27"/>
    <x v="1"/>
    <x v="1"/>
    <s v="North-David"/>
    <x v="9"/>
    <x v="3"/>
    <x v="751"/>
    <x v="750"/>
    <x v="751"/>
  </r>
  <r>
    <n v="1028"/>
    <x v="34"/>
    <x v="2"/>
    <x v="1"/>
    <x v="751"/>
    <x v="27"/>
    <x v="2"/>
    <n v="4848.9799999999996"/>
    <n v="4985.75"/>
    <x v="0"/>
    <n v="0.2"/>
    <x v="1"/>
    <x v="0"/>
    <s v="West-Charlie"/>
    <x v="3"/>
    <x v="0"/>
    <x v="752"/>
    <x v="751"/>
    <x v="752"/>
  </r>
  <r>
    <n v="1008"/>
    <x v="266"/>
    <x v="2"/>
    <x v="1"/>
    <x v="752"/>
    <x v="18"/>
    <x v="2"/>
    <n v="2296.9299999999998"/>
    <n v="2319.62"/>
    <x v="0"/>
    <n v="0.23"/>
    <x v="1"/>
    <x v="1"/>
    <s v="West-Charlie"/>
    <x v="9"/>
    <x v="6"/>
    <x v="753"/>
    <x v="752"/>
    <x v="753"/>
  </r>
  <r>
    <n v="1092"/>
    <x v="217"/>
    <x v="4"/>
    <x v="2"/>
    <x v="753"/>
    <x v="28"/>
    <x v="0"/>
    <n v="2559.65"/>
    <n v="2709.4"/>
    <x v="0"/>
    <n v="0.11"/>
    <x v="2"/>
    <x v="1"/>
    <s v="South-Alice"/>
    <x v="11"/>
    <x v="0"/>
    <x v="754"/>
    <x v="753"/>
    <x v="754"/>
  </r>
  <r>
    <n v="1036"/>
    <x v="176"/>
    <x v="1"/>
    <x v="0"/>
    <x v="754"/>
    <x v="48"/>
    <x v="1"/>
    <n v="2882.25"/>
    <n v="3163.7"/>
    <x v="0"/>
    <n v="0.05"/>
    <x v="0"/>
    <x v="1"/>
    <s v="North-David"/>
    <x v="9"/>
    <x v="5"/>
    <x v="755"/>
    <x v="754"/>
    <x v="755"/>
  </r>
  <r>
    <n v="1090"/>
    <x v="13"/>
    <x v="3"/>
    <x v="1"/>
    <x v="755"/>
    <x v="7"/>
    <x v="2"/>
    <n v="4665.12"/>
    <n v="4675.8999999999996"/>
    <x v="1"/>
    <n v="0.19"/>
    <x v="0"/>
    <x v="1"/>
    <s v="West-Eve"/>
    <x v="9"/>
    <x v="5"/>
    <x v="756"/>
    <x v="755"/>
    <x v="756"/>
  </r>
  <r>
    <n v="1008"/>
    <x v="315"/>
    <x v="4"/>
    <x v="3"/>
    <x v="756"/>
    <x v="5"/>
    <x v="1"/>
    <n v="4298.12"/>
    <n v="4446.8999999999996"/>
    <x v="1"/>
    <n v="0.1"/>
    <x v="1"/>
    <x v="0"/>
    <s v="East-Alice"/>
    <x v="6"/>
    <x v="4"/>
    <x v="757"/>
    <x v="756"/>
    <x v="757"/>
  </r>
  <r>
    <n v="1058"/>
    <x v="49"/>
    <x v="4"/>
    <x v="1"/>
    <x v="757"/>
    <x v="13"/>
    <x v="2"/>
    <n v="894.48"/>
    <n v="1336.37"/>
    <x v="0"/>
    <n v="0.26"/>
    <x v="0"/>
    <x v="1"/>
    <s v="West-Alice"/>
    <x v="8"/>
    <x v="6"/>
    <x v="758"/>
    <x v="757"/>
    <x v="758"/>
  </r>
  <r>
    <n v="1060"/>
    <x v="316"/>
    <x v="1"/>
    <x v="2"/>
    <x v="758"/>
    <x v="16"/>
    <x v="2"/>
    <n v="2211.9499999999998"/>
    <n v="2512.8399999999901"/>
    <x v="0"/>
    <n v="0.04"/>
    <x v="0"/>
    <x v="0"/>
    <s v="South-David"/>
    <x v="4"/>
    <x v="6"/>
    <x v="759"/>
    <x v="758"/>
    <x v="759"/>
  </r>
  <r>
    <n v="1050"/>
    <x v="314"/>
    <x v="1"/>
    <x v="0"/>
    <x v="759"/>
    <x v="1"/>
    <x v="0"/>
    <n v="2346.8000000000002"/>
    <n v="2654.65"/>
    <x v="1"/>
    <n v="0.13"/>
    <x v="0"/>
    <x v="1"/>
    <s v="North-David"/>
    <x v="3"/>
    <x v="4"/>
    <x v="760"/>
    <x v="759"/>
    <x v="760"/>
  </r>
  <r>
    <n v="1028"/>
    <x v="185"/>
    <x v="2"/>
    <x v="2"/>
    <x v="760"/>
    <x v="36"/>
    <x v="2"/>
    <n v="3956.03"/>
    <n v="4163.68"/>
    <x v="1"/>
    <n v="0.12"/>
    <x v="1"/>
    <x v="1"/>
    <s v="South-Charlie"/>
    <x v="3"/>
    <x v="2"/>
    <x v="761"/>
    <x v="760"/>
    <x v="761"/>
  </r>
  <r>
    <n v="1092"/>
    <x v="78"/>
    <x v="1"/>
    <x v="3"/>
    <x v="761"/>
    <x v="20"/>
    <x v="3"/>
    <n v="3034.32"/>
    <n v="3375.79"/>
    <x v="1"/>
    <n v="0.28000000000000003"/>
    <x v="2"/>
    <x v="0"/>
    <s v="East-David"/>
    <x v="8"/>
    <x v="6"/>
    <x v="762"/>
    <x v="761"/>
    <x v="762"/>
  </r>
  <r>
    <n v="1041"/>
    <x v="88"/>
    <x v="2"/>
    <x v="3"/>
    <x v="762"/>
    <x v="16"/>
    <x v="3"/>
    <n v="3288.39"/>
    <n v="3391.46"/>
    <x v="1"/>
    <n v="0.05"/>
    <x v="2"/>
    <x v="1"/>
    <s v="East-Charlie"/>
    <x v="4"/>
    <x v="6"/>
    <x v="763"/>
    <x v="762"/>
    <x v="763"/>
  </r>
  <r>
    <n v="1100"/>
    <x v="38"/>
    <x v="4"/>
    <x v="3"/>
    <x v="763"/>
    <x v="24"/>
    <x v="0"/>
    <n v="4991.09"/>
    <n v="5402.28"/>
    <x v="0"/>
    <n v="0"/>
    <x v="0"/>
    <x v="1"/>
    <s v="East-Alice"/>
    <x v="9"/>
    <x v="0"/>
    <x v="764"/>
    <x v="763"/>
    <x v="764"/>
  </r>
  <r>
    <n v="1064"/>
    <x v="195"/>
    <x v="0"/>
    <x v="2"/>
    <x v="764"/>
    <x v="47"/>
    <x v="1"/>
    <n v="421.05"/>
    <n v="488.23"/>
    <x v="0"/>
    <n v="7.0000000000000007E-2"/>
    <x v="2"/>
    <x v="1"/>
    <s v="South-Bob"/>
    <x v="3"/>
    <x v="1"/>
    <x v="765"/>
    <x v="764"/>
    <x v="765"/>
  </r>
  <r>
    <n v="1027"/>
    <x v="299"/>
    <x v="3"/>
    <x v="1"/>
    <x v="765"/>
    <x v="27"/>
    <x v="1"/>
    <n v="1153.9000000000001"/>
    <n v="1485.34"/>
    <x v="1"/>
    <n v="0.25"/>
    <x v="2"/>
    <x v="1"/>
    <s v="West-Eve"/>
    <x v="0"/>
    <x v="4"/>
    <x v="766"/>
    <x v="765"/>
    <x v="766"/>
  </r>
  <r>
    <n v="1063"/>
    <x v="235"/>
    <x v="4"/>
    <x v="2"/>
    <x v="766"/>
    <x v="30"/>
    <x v="1"/>
    <n v="2069.08"/>
    <n v="2246.2399999999998"/>
    <x v="1"/>
    <n v="0.06"/>
    <x v="1"/>
    <x v="1"/>
    <s v="South-Alice"/>
    <x v="7"/>
    <x v="1"/>
    <x v="767"/>
    <x v="766"/>
    <x v="767"/>
  </r>
  <r>
    <n v="1017"/>
    <x v="125"/>
    <x v="1"/>
    <x v="0"/>
    <x v="767"/>
    <x v="18"/>
    <x v="3"/>
    <n v="1771.52"/>
    <n v="2147.8000000000002"/>
    <x v="1"/>
    <n v="7.0000000000000007E-2"/>
    <x v="1"/>
    <x v="0"/>
    <s v="North-David"/>
    <x v="11"/>
    <x v="2"/>
    <x v="768"/>
    <x v="767"/>
    <x v="768"/>
  </r>
  <r>
    <n v="1073"/>
    <x v="317"/>
    <x v="3"/>
    <x v="1"/>
    <x v="768"/>
    <x v="11"/>
    <x v="1"/>
    <n v="157.15"/>
    <n v="436.53"/>
    <x v="1"/>
    <n v="0.04"/>
    <x v="0"/>
    <x v="1"/>
    <s v="West-Eve"/>
    <x v="9"/>
    <x v="4"/>
    <x v="769"/>
    <x v="768"/>
    <x v="769"/>
  </r>
  <r>
    <n v="1033"/>
    <x v="318"/>
    <x v="0"/>
    <x v="3"/>
    <x v="769"/>
    <x v="28"/>
    <x v="1"/>
    <n v="504.3"/>
    <n v="735.95"/>
    <x v="0"/>
    <n v="0.21"/>
    <x v="0"/>
    <x v="1"/>
    <s v="East-Bob"/>
    <x v="3"/>
    <x v="6"/>
    <x v="770"/>
    <x v="769"/>
    <x v="770"/>
  </r>
  <r>
    <n v="1084"/>
    <x v="50"/>
    <x v="0"/>
    <x v="2"/>
    <x v="770"/>
    <x v="13"/>
    <x v="0"/>
    <n v="3420.72"/>
    <n v="3513.74"/>
    <x v="1"/>
    <n v="0.02"/>
    <x v="0"/>
    <x v="0"/>
    <s v="South-Bob"/>
    <x v="8"/>
    <x v="4"/>
    <x v="771"/>
    <x v="770"/>
    <x v="771"/>
  </r>
  <r>
    <n v="1077"/>
    <x v="244"/>
    <x v="2"/>
    <x v="3"/>
    <x v="771"/>
    <x v="8"/>
    <x v="1"/>
    <n v="4402.66"/>
    <n v="4724.7"/>
    <x v="1"/>
    <n v="0.1"/>
    <x v="1"/>
    <x v="1"/>
    <s v="East-Charlie"/>
    <x v="3"/>
    <x v="4"/>
    <x v="772"/>
    <x v="771"/>
    <x v="772"/>
  </r>
  <r>
    <n v="1092"/>
    <x v="319"/>
    <x v="3"/>
    <x v="3"/>
    <x v="772"/>
    <x v="19"/>
    <x v="3"/>
    <n v="2595.42"/>
    <n v="3083.06"/>
    <x v="1"/>
    <n v="0.08"/>
    <x v="2"/>
    <x v="0"/>
    <s v="East-Eve"/>
    <x v="11"/>
    <x v="3"/>
    <x v="773"/>
    <x v="772"/>
    <x v="773"/>
  </r>
  <r>
    <n v="1029"/>
    <x v="172"/>
    <x v="2"/>
    <x v="0"/>
    <x v="773"/>
    <x v="17"/>
    <x v="3"/>
    <n v="2719"/>
    <n v="3133.55"/>
    <x v="0"/>
    <n v="0.17"/>
    <x v="1"/>
    <x v="1"/>
    <s v="North-Charlie"/>
    <x v="5"/>
    <x v="3"/>
    <x v="774"/>
    <x v="773"/>
    <x v="774"/>
  </r>
  <r>
    <n v="1013"/>
    <x v="267"/>
    <x v="4"/>
    <x v="1"/>
    <x v="774"/>
    <x v="22"/>
    <x v="3"/>
    <n v="1312.71"/>
    <n v="1352.11"/>
    <x v="0"/>
    <n v="0.22"/>
    <x v="1"/>
    <x v="1"/>
    <s v="West-Alice"/>
    <x v="5"/>
    <x v="1"/>
    <x v="775"/>
    <x v="774"/>
    <x v="775"/>
  </r>
  <r>
    <n v="1046"/>
    <x v="251"/>
    <x v="3"/>
    <x v="0"/>
    <x v="775"/>
    <x v="1"/>
    <x v="0"/>
    <n v="3850.99"/>
    <n v="4045.3399999999901"/>
    <x v="0"/>
    <n v="0.16"/>
    <x v="2"/>
    <x v="0"/>
    <s v="North-Eve"/>
    <x v="11"/>
    <x v="6"/>
    <x v="776"/>
    <x v="775"/>
    <x v="776"/>
  </r>
  <r>
    <n v="1035"/>
    <x v="320"/>
    <x v="4"/>
    <x v="0"/>
    <x v="776"/>
    <x v="40"/>
    <x v="0"/>
    <n v="3771.38"/>
    <n v="4234.92"/>
    <x v="1"/>
    <n v="0.28000000000000003"/>
    <x v="2"/>
    <x v="1"/>
    <s v="North-Alice"/>
    <x v="5"/>
    <x v="5"/>
    <x v="777"/>
    <x v="776"/>
    <x v="777"/>
  </r>
  <r>
    <n v="1006"/>
    <x v="211"/>
    <x v="2"/>
    <x v="0"/>
    <x v="777"/>
    <x v="12"/>
    <x v="2"/>
    <n v="2962.41"/>
    <n v="3218.8999999999901"/>
    <x v="1"/>
    <n v="0.28999999999999998"/>
    <x v="0"/>
    <x v="1"/>
    <s v="North-Charlie"/>
    <x v="1"/>
    <x v="5"/>
    <x v="778"/>
    <x v="777"/>
    <x v="778"/>
  </r>
  <r>
    <n v="1082"/>
    <x v="150"/>
    <x v="3"/>
    <x v="3"/>
    <x v="778"/>
    <x v="7"/>
    <x v="1"/>
    <n v="1102.69"/>
    <n v="1437.12"/>
    <x v="1"/>
    <n v="0.11"/>
    <x v="2"/>
    <x v="0"/>
    <s v="East-Eve"/>
    <x v="11"/>
    <x v="2"/>
    <x v="779"/>
    <x v="778"/>
    <x v="779"/>
  </r>
  <r>
    <n v="1069"/>
    <x v="321"/>
    <x v="2"/>
    <x v="0"/>
    <x v="779"/>
    <x v="18"/>
    <x v="0"/>
    <n v="530.24"/>
    <n v="987.41"/>
    <x v="0"/>
    <n v="0.23"/>
    <x v="2"/>
    <x v="0"/>
    <s v="North-Charlie"/>
    <x v="8"/>
    <x v="1"/>
    <x v="780"/>
    <x v="779"/>
    <x v="780"/>
  </r>
  <r>
    <n v="1047"/>
    <x v="93"/>
    <x v="3"/>
    <x v="0"/>
    <x v="780"/>
    <x v="5"/>
    <x v="3"/>
    <n v="367.98"/>
    <n v="806.14"/>
    <x v="0"/>
    <n v="0.22"/>
    <x v="2"/>
    <x v="1"/>
    <s v="North-Eve"/>
    <x v="2"/>
    <x v="6"/>
    <x v="781"/>
    <x v="780"/>
    <x v="781"/>
  </r>
  <r>
    <n v="1025"/>
    <x v="319"/>
    <x v="2"/>
    <x v="1"/>
    <x v="781"/>
    <x v="11"/>
    <x v="3"/>
    <n v="2983.85"/>
    <n v="3239.74"/>
    <x v="1"/>
    <n v="0.27"/>
    <x v="2"/>
    <x v="0"/>
    <s v="West-Charlie"/>
    <x v="11"/>
    <x v="3"/>
    <x v="782"/>
    <x v="781"/>
    <x v="782"/>
  </r>
  <r>
    <n v="1066"/>
    <x v="193"/>
    <x v="0"/>
    <x v="1"/>
    <x v="782"/>
    <x v="4"/>
    <x v="0"/>
    <n v="4133.92"/>
    <n v="4358.37"/>
    <x v="1"/>
    <n v="0.13"/>
    <x v="0"/>
    <x v="1"/>
    <s v="West-Bob"/>
    <x v="6"/>
    <x v="2"/>
    <x v="783"/>
    <x v="782"/>
    <x v="783"/>
  </r>
  <r>
    <n v="1010"/>
    <x v="178"/>
    <x v="2"/>
    <x v="0"/>
    <x v="783"/>
    <x v="46"/>
    <x v="0"/>
    <n v="4298.74"/>
    <n v="4475.1899999999996"/>
    <x v="0"/>
    <n v="0.16"/>
    <x v="0"/>
    <x v="0"/>
    <s v="North-Charlie"/>
    <x v="7"/>
    <x v="1"/>
    <x v="784"/>
    <x v="783"/>
    <x v="784"/>
  </r>
  <r>
    <n v="1056"/>
    <x v="322"/>
    <x v="0"/>
    <x v="1"/>
    <x v="784"/>
    <x v="22"/>
    <x v="0"/>
    <n v="2344.9299999999998"/>
    <n v="2707.25"/>
    <x v="1"/>
    <n v="0.12"/>
    <x v="2"/>
    <x v="1"/>
    <s v="West-Bob"/>
    <x v="11"/>
    <x v="5"/>
    <x v="785"/>
    <x v="784"/>
    <x v="785"/>
  </r>
  <r>
    <n v="1030"/>
    <x v="254"/>
    <x v="2"/>
    <x v="1"/>
    <x v="785"/>
    <x v="47"/>
    <x v="2"/>
    <n v="3932.14"/>
    <n v="4082.7599999999902"/>
    <x v="1"/>
    <n v="0.26"/>
    <x v="2"/>
    <x v="0"/>
    <s v="West-Charlie"/>
    <x v="6"/>
    <x v="3"/>
    <x v="786"/>
    <x v="785"/>
    <x v="786"/>
  </r>
  <r>
    <n v="1005"/>
    <x v="175"/>
    <x v="3"/>
    <x v="0"/>
    <x v="786"/>
    <x v="14"/>
    <x v="3"/>
    <n v="4737.0600000000004"/>
    <n v="4869.5"/>
    <x v="1"/>
    <n v="7.0000000000000007E-2"/>
    <x v="0"/>
    <x v="0"/>
    <s v="North-Eve"/>
    <x v="2"/>
    <x v="0"/>
    <x v="787"/>
    <x v="786"/>
    <x v="787"/>
  </r>
  <r>
    <n v="1033"/>
    <x v="257"/>
    <x v="3"/>
    <x v="3"/>
    <x v="787"/>
    <x v="6"/>
    <x v="2"/>
    <n v="1412.09"/>
    <n v="1596.6499999999901"/>
    <x v="0"/>
    <n v="7.0000000000000007E-2"/>
    <x v="0"/>
    <x v="0"/>
    <s v="East-Eve"/>
    <x v="3"/>
    <x v="3"/>
    <x v="788"/>
    <x v="787"/>
    <x v="788"/>
  </r>
  <r>
    <n v="1065"/>
    <x v="212"/>
    <x v="3"/>
    <x v="0"/>
    <x v="788"/>
    <x v="32"/>
    <x v="2"/>
    <n v="2019.9"/>
    <n v="2116.7399999999998"/>
    <x v="1"/>
    <n v="0.11"/>
    <x v="2"/>
    <x v="0"/>
    <s v="North-Eve"/>
    <x v="5"/>
    <x v="2"/>
    <x v="789"/>
    <x v="788"/>
    <x v="789"/>
  </r>
  <r>
    <n v="1018"/>
    <x v="157"/>
    <x v="1"/>
    <x v="1"/>
    <x v="789"/>
    <x v="44"/>
    <x v="1"/>
    <n v="4660.82"/>
    <n v="5011.4299999999903"/>
    <x v="1"/>
    <n v="7.0000000000000007E-2"/>
    <x v="1"/>
    <x v="0"/>
    <s v="West-David"/>
    <x v="5"/>
    <x v="5"/>
    <x v="790"/>
    <x v="789"/>
    <x v="790"/>
  </r>
  <r>
    <n v="1096"/>
    <x v="323"/>
    <x v="4"/>
    <x v="3"/>
    <x v="790"/>
    <x v="17"/>
    <x v="3"/>
    <n v="1724.24"/>
    <n v="2036.2"/>
    <x v="1"/>
    <n v="0.17"/>
    <x v="0"/>
    <x v="0"/>
    <s v="East-Alice"/>
    <x v="0"/>
    <x v="1"/>
    <x v="791"/>
    <x v="790"/>
    <x v="791"/>
  </r>
  <r>
    <n v="1049"/>
    <x v="39"/>
    <x v="3"/>
    <x v="2"/>
    <x v="791"/>
    <x v="33"/>
    <x v="3"/>
    <n v="4573.6899999999996"/>
    <n v="4820.2999999999902"/>
    <x v="1"/>
    <n v="0.04"/>
    <x v="0"/>
    <x v="0"/>
    <s v="South-Eve"/>
    <x v="10"/>
    <x v="5"/>
    <x v="792"/>
    <x v="791"/>
    <x v="792"/>
  </r>
  <r>
    <n v="1011"/>
    <x v="324"/>
    <x v="0"/>
    <x v="3"/>
    <x v="792"/>
    <x v="39"/>
    <x v="0"/>
    <n v="4906.17"/>
    <n v="5107.43"/>
    <x v="0"/>
    <n v="0.1"/>
    <x v="0"/>
    <x v="0"/>
    <s v="East-Bob"/>
    <x v="4"/>
    <x v="4"/>
    <x v="793"/>
    <x v="792"/>
    <x v="793"/>
  </r>
  <r>
    <n v="1085"/>
    <x v="325"/>
    <x v="3"/>
    <x v="1"/>
    <x v="793"/>
    <x v="27"/>
    <x v="0"/>
    <n v="3325.96"/>
    <n v="3781.4"/>
    <x v="0"/>
    <n v="0.27"/>
    <x v="2"/>
    <x v="0"/>
    <s v="West-Eve"/>
    <x v="0"/>
    <x v="4"/>
    <x v="794"/>
    <x v="793"/>
    <x v="794"/>
  </r>
  <r>
    <n v="1026"/>
    <x v="45"/>
    <x v="1"/>
    <x v="3"/>
    <x v="794"/>
    <x v="47"/>
    <x v="1"/>
    <n v="4093.61"/>
    <n v="4117.88"/>
    <x v="0"/>
    <n v="0.12"/>
    <x v="2"/>
    <x v="1"/>
    <s v="East-David"/>
    <x v="5"/>
    <x v="1"/>
    <x v="795"/>
    <x v="794"/>
    <x v="795"/>
  </r>
  <r>
    <n v="1063"/>
    <x v="11"/>
    <x v="0"/>
    <x v="0"/>
    <x v="795"/>
    <x v="30"/>
    <x v="2"/>
    <n v="3760.25"/>
    <n v="4147.1099999999997"/>
    <x v="1"/>
    <n v="0.22"/>
    <x v="0"/>
    <x v="0"/>
    <s v="North-Bob"/>
    <x v="3"/>
    <x v="4"/>
    <x v="796"/>
    <x v="795"/>
    <x v="796"/>
  </r>
  <r>
    <n v="1089"/>
    <x v="178"/>
    <x v="1"/>
    <x v="2"/>
    <x v="796"/>
    <x v="44"/>
    <x v="0"/>
    <n v="3512.69"/>
    <n v="3964.63"/>
    <x v="0"/>
    <n v="0.03"/>
    <x v="2"/>
    <x v="1"/>
    <s v="South-David"/>
    <x v="7"/>
    <x v="1"/>
    <x v="797"/>
    <x v="796"/>
    <x v="797"/>
  </r>
  <r>
    <n v="1086"/>
    <x v="21"/>
    <x v="0"/>
    <x v="2"/>
    <x v="797"/>
    <x v="29"/>
    <x v="0"/>
    <n v="1569.31"/>
    <n v="1798.02"/>
    <x v="1"/>
    <n v="7.0000000000000007E-2"/>
    <x v="2"/>
    <x v="0"/>
    <s v="South-Bob"/>
    <x v="5"/>
    <x v="6"/>
    <x v="798"/>
    <x v="797"/>
    <x v="798"/>
  </r>
  <r>
    <n v="1059"/>
    <x v="292"/>
    <x v="2"/>
    <x v="2"/>
    <x v="798"/>
    <x v="21"/>
    <x v="3"/>
    <n v="332.62"/>
    <n v="612.46"/>
    <x v="0"/>
    <n v="0.24"/>
    <x v="0"/>
    <x v="1"/>
    <s v="South-Charlie"/>
    <x v="1"/>
    <x v="5"/>
    <x v="799"/>
    <x v="798"/>
    <x v="799"/>
  </r>
  <r>
    <n v="1027"/>
    <x v="118"/>
    <x v="4"/>
    <x v="1"/>
    <x v="799"/>
    <x v="46"/>
    <x v="3"/>
    <n v="1748.11"/>
    <n v="2220.9"/>
    <x v="1"/>
    <n v="0.23"/>
    <x v="2"/>
    <x v="1"/>
    <s v="West-Alice"/>
    <x v="0"/>
    <x v="6"/>
    <x v="800"/>
    <x v="799"/>
    <x v="800"/>
  </r>
  <r>
    <n v="1049"/>
    <x v="326"/>
    <x v="4"/>
    <x v="1"/>
    <x v="800"/>
    <x v="16"/>
    <x v="0"/>
    <n v="3351.33"/>
    <n v="3465.35"/>
    <x v="0"/>
    <n v="0.12"/>
    <x v="1"/>
    <x v="0"/>
    <s v="West-Alice"/>
    <x v="2"/>
    <x v="1"/>
    <x v="801"/>
    <x v="800"/>
    <x v="801"/>
  </r>
  <r>
    <n v="1077"/>
    <x v="178"/>
    <x v="1"/>
    <x v="2"/>
    <x v="801"/>
    <x v="18"/>
    <x v="3"/>
    <n v="557.52"/>
    <n v="822.39"/>
    <x v="0"/>
    <n v="0.28999999999999998"/>
    <x v="2"/>
    <x v="0"/>
    <s v="South-David"/>
    <x v="7"/>
    <x v="1"/>
    <x v="802"/>
    <x v="801"/>
    <x v="802"/>
  </r>
  <r>
    <n v="1033"/>
    <x v="121"/>
    <x v="4"/>
    <x v="3"/>
    <x v="802"/>
    <x v="5"/>
    <x v="1"/>
    <n v="108.99"/>
    <n v="351.6"/>
    <x v="0"/>
    <n v="0.27"/>
    <x v="2"/>
    <x v="1"/>
    <s v="East-Alice"/>
    <x v="6"/>
    <x v="3"/>
    <x v="803"/>
    <x v="802"/>
    <x v="803"/>
  </r>
  <r>
    <n v="1098"/>
    <x v="37"/>
    <x v="1"/>
    <x v="2"/>
    <x v="803"/>
    <x v="23"/>
    <x v="0"/>
    <n v="741.48"/>
    <n v="878.09"/>
    <x v="1"/>
    <n v="0.28999999999999998"/>
    <x v="0"/>
    <x v="1"/>
    <s v="South-David"/>
    <x v="4"/>
    <x v="1"/>
    <x v="804"/>
    <x v="803"/>
    <x v="804"/>
  </r>
  <r>
    <n v="1099"/>
    <x v="108"/>
    <x v="1"/>
    <x v="3"/>
    <x v="804"/>
    <x v="3"/>
    <x v="3"/>
    <n v="3592.89"/>
    <n v="4004"/>
    <x v="1"/>
    <n v="0.13"/>
    <x v="0"/>
    <x v="0"/>
    <s v="East-David"/>
    <x v="7"/>
    <x v="5"/>
    <x v="805"/>
    <x v="804"/>
    <x v="805"/>
  </r>
  <r>
    <n v="1001"/>
    <x v="75"/>
    <x v="1"/>
    <x v="3"/>
    <x v="805"/>
    <x v="20"/>
    <x v="1"/>
    <n v="4865.33"/>
    <n v="5316.13"/>
    <x v="1"/>
    <n v="0.06"/>
    <x v="1"/>
    <x v="0"/>
    <s v="East-David"/>
    <x v="10"/>
    <x v="6"/>
    <x v="806"/>
    <x v="805"/>
    <x v="806"/>
  </r>
  <r>
    <n v="1021"/>
    <x v="193"/>
    <x v="4"/>
    <x v="1"/>
    <x v="806"/>
    <x v="38"/>
    <x v="3"/>
    <n v="4916.17"/>
    <n v="5309.32"/>
    <x v="0"/>
    <n v="0.19"/>
    <x v="2"/>
    <x v="0"/>
    <s v="West-Alice"/>
    <x v="6"/>
    <x v="2"/>
    <x v="807"/>
    <x v="806"/>
    <x v="807"/>
  </r>
  <r>
    <n v="1055"/>
    <x v="76"/>
    <x v="1"/>
    <x v="3"/>
    <x v="807"/>
    <x v="23"/>
    <x v="3"/>
    <n v="2495.1999999999998"/>
    <n v="2600.9299999999998"/>
    <x v="1"/>
    <n v="0.21"/>
    <x v="1"/>
    <x v="1"/>
    <s v="East-David"/>
    <x v="4"/>
    <x v="2"/>
    <x v="808"/>
    <x v="807"/>
    <x v="808"/>
  </r>
  <r>
    <n v="1006"/>
    <x v="320"/>
    <x v="4"/>
    <x v="2"/>
    <x v="808"/>
    <x v="6"/>
    <x v="3"/>
    <n v="4353.29"/>
    <n v="4405.8"/>
    <x v="1"/>
    <n v="0.04"/>
    <x v="1"/>
    <x v="0"/>
    <s v="South-Alice"/>
    <x v="5"/>
    <x v="5"/>
    <x v="809"/>
    <x v="808"/>
    <x v="809"/>
  </r>
  <r>
    <n v="1092"/>
    <x v="243"/>
    <x v="1"/>
    <x v="1"/>
    <x v="809"/>
    <x v="42"/>
    <x v="0"/>
    <n v="3697.29"/>
    <n v="4003.96"/>
    <x v="1"/>
    <n v="0.24"/>
    <x v="0"/>
    <x v="0"/>
    <s v="West-David"/>
    <x v="5"/>
    <x v="0"/>
    <x v="810"/>
    <x v="809"/>
    <x v="810"/>
  </r>
  <r>
    <n v="1081"/>
    <x v="222"/>
    <x v="3"/>
    <x v="0"/>
    <x v="810"/>
    <x v="25"/>
    <x v="2"/>
    <n v="2530.15"/>
    <n v="2568.13"/>
    <x v="1"/>
    <n v="0.01"/>
    <x v="2"/>
    <x v="0"/>
    <s v="North-Eve"/>
    <x v="11"/>
    <x v="0"/>
    <x v="811"/>
    <x v="810"/>
    <x v="811"/>
  </r>
  <r>
    <n v="1069"/>
    <x v="181"/>
    <x v="1"/>
    <x v="0"/>
    <x v="811"/>
    <x v="22"/>
    <x v="3"/>
    <n v="2885.16"/>
    <n v="3224.8399999999901"/>
    <x v="1"/>
    <n v="0.14000000000000001"/>
    <x v="0"/>
    <x v="0"/>
    <s v="North-David"/>
    <x v="9"/>
    <x v="5"/>
    <x v="812"/>
    <x v="811"/>
    <x v="812"/>
  </r>
  <r>
    <n v="1095"/>
    <x v="3"/>
    <x v="0"/>
    <x v="1"/>
    <x v="812"/>
    <x v="46"/>
    <x v="1"/>
    <n v="729.27"/>
    <n v="999.18"/>
    <x v="1"/>
    <n v="0.1"/>
    <x v="1"/>
    <x v="0"/>
    <s v="West-Bob"/>
    <x v="3"/>
    <x v="1"/>
    <x v="813"/>
    <x v="812"/>
    <x v="813"/>
  </r>
  <r>
    <n v="1005"/>
    <x v="154"/>
    <x v="1"/>
    <x v="2"/>
    <x v="813"/>
    <x v="7"/>
    <x v="0"/>
    <n v="4691.42"/>
    <n v="5026.1899999999996"/>
    <x v="0"/>
    <n v="0.22"/>
    <x v="1"/>
    <x v="1"/>
    <s v="South-David"/>
    <x v="1"/>
    <x v="5"/>
    <x v="814"/>
    <x v="813"/>
    <x v="814"/>
  </r>
  <r>
    <n v="1003"/>
    <x v="327"/>
    <x v="2"/>
    <x v="0"/>
    <x v="814"/>
    <x v="45"/>
    <x v="0"/>
    <n v="1792.05"/>
    <n v="2091.23"/>
    <x v="0"/>
    <n v="0.09"/>
    <x v="0"/>
    <x v="1"/>
    <s v="North-Charlie"/>
    <x v="5"/>
    <x v="2"/>
    <x v="815"/>
    <x v="814"/>
    <x v="815"/>
  </r>
  <r>
    <n v="1053"/>
    <x v="131"/>
    <x v="1"/>
    <x v="0"/>
    <x v="815"/>
    <x v="21"/>
    <x v="1"/>
    <n v="2258.44"/>
    <n v="2475.56"/>
    <x v="1"/>
    <n v="0.25"/>
    <x v="0"/>
    <x v="0"/>
    <s v="North-David"/>
    <x v="7"/>
    <x v="4"/>
    <x v="816"/>
    <x v="815"/>
    <x v="816"/>
  </r>
  <r>
    <n v="1023"/>
    <x v="296"/>
    <x v="0"/>
    <x v="3"/>
    <x v="816"/>
    <x v="20"/>
    <x v="3"/>
    <n v="3374.72"/>
    <n v="3483.1499999999901"/>
    <x v="0"/>
    <n v="0.18"/>
    <x v="0"/>
    <x v="0"/>
    <s v="East-Bob"/>
    <x v="9"/>
    <x v="2"/>
    <x v="817"/>
    <x v="816"/>
    <x v="817"/>
  </r>
  <r>
    <n v="1053"/>
    <x v="76"/>
    <x v="0"/>
    <x v="3"/>
    <x v="817"/>
    <x v="21"/>
    <x v="2"/>
    <n v="1702.82"/>
    <n v="1862.61"/>
    <x v="0"/>
    <n v="0.24"/>
    <x v="0"/>
    <x v="1"/>
    <s v="East-Bob"/>
    <x v="4"/>
    <x v="2"/>
    <x v="818"/>
    <x v="817"/>
    <x v="818"/>
  </r>
  <r>
    <n v="1037"/>
    <x v="291"/>
    <x v="4"/>
    <x v="2"/>
    <x v="818"/>
    <x v="1"/>
    <x v="3"/>
    <n v="1308.58"/>
    <n v="1575.59"/>
    <x v="1"/>
    <n v="0.3"/>
    <x v="0"/>
    <x v="0"/>
    <s v="South-Alice"/>
    <x v="2"/>
    <x v="3"/>
    <x v="819"/>
    <x v="818"/>
    <x v="819"/>
  </r>
  <r>
    <n v="1074"/>
    <x v="216"/>
    <x v="3"/>
    <x v="1"/>
    <x v="819"/>
    <x v="39"/>
    <x v="1"/>
    <n v="3173.69"/>
    <n v="3503.11"/>
    <x v="1"/>
    <n v="0.2"/>
    <x v="1"/>
    <x v="1"/>
    <s v="West-Eve"/>
    <x v="10"/>
    <x v="2"/>
    <x v="820"/>
    <x v="819"/>
    <x v="820"/>
  </r>
  <r>
    <n v="1074"/>
    <x v="160"/>
    <x v="1"/>
    <x v="2"/>
    <x v="820"/>
    <x v="6"/>
    <x v="0"/>
    <n v="173.67"/>
    <n v="565.62"/>
    <x v="0"/>
    <n v="0.3"/>
    <x v="0"/>
    <x v="0"/>
    <s v="South-David"/>
    <x v="2"/>
    <x v="1"/>
    <x v="821"/>
    <x v="820"/>
    <x v="821"/>
  </r>
  <r>
    <n v="1083"/>
    <x v="325"/>
    <x v="4"/>
    <x v="1"/>
    <x v="821"/>
    <x v="46"/>
    <x v="2"/>
    <n v="3617.59"/>
    <n v="4003.5"/>
    <x v="1"/>
    <n v="0.01"/>
    <x v="2"/>
    <x v="1"/>
    <s v="West-Alice"/>
    <x v="0"/>
    <x v="4"/>
    <x v="822"/>
    <x v="821"/>
    <x v="822"/>
  </r>
  <r>
    <n v="1017"/>
    <x v="120"/>
    <x v="3"/>
    <x v="0"/>
    <x v="822"/>
    <x v="32"/>
    <x v="0"/>
    <n v="2594.42"/>
    <n v="3081.04"/>
    <x v="0"/>
    <n v="0.1"/>
    <x v="1"/>
    <x v="1"/>
    <s v="North-Eve"/>
    <x v="5"/>
    <x v="5"/>
    <x v="823"/>
    <x v="822"/>
    <x v="823"/>
  </r>
  <r>
    <n v="1085"/>
    <x v="201"/>
    <x v="1"/>
    <x v="3"/>
    <x v="823"/>
    <x v="29"/>
    <x v="1"/>
    <n v="3048.48"/>
    <n v="3198.54"/>
    <x v="0"/>
    <n v="0.03"/>
    <x v="1"/>
    <x v="0"/>
    <s v="East-David"/>
    <x v="6"/>
    <x v="5"/>
    <x v="824"/>
    <x v="823"/>
    <x v="824"/>
  </r>
  <r>
    <n v="1078"/>
    <x v="315"/>
    <x v="2"/>
    <x v="2"/>
    <x v="824"/>
    <x v="6"/>
    <x v="3"/>
    <n v="3177.81"/>
    <n v="3222.65"/>
    <x v="0"/>
    <n v="0.08"/>
    <x v="2"/>
    <x v="1"/>
    <s v="South-Charlie"/>
    <x v="6"/>
    <x v="4"/>
    <x v="825"/>
    <x v="824"/>
    <x v="825"/>
  </r>
  <r>
    <n v="1073"/>
    <x v="10"/>
    <x v="1"/>
    <x v="2"/>
    <x v="825"/>
    <x v="10"/>
    <x v="2"/>
    <n v="2658.9"/>
    <n v="2838.27"/>
    <x v="1"/>
    <n v="0.25"/>
    <x v="2"/>
    <x v="0"/>
    <s v="South-David"/>
    <x v="8"/>
    <x v="1"/>
    <x v="826"/>
    <x v="825"/>
    <x v="826"/>
  </r>
  <r>
    <n v="1001"/>
    <x v="232"/>
    <x v="0"/>
    <x v="1"/>
    <x v="826"/>
    <x v="19"/>
    <x v="0"/>
    <n v="2933.54"/>
    <n v="3307.75"/>
    <x v="0"/>
    <n v="0.01"/>
    <x v="1"/>
    <x v="1"/>
    <s v="West-Bob"/>
    <x v="7"/>
    <x v="5"/>
    <x v="827"/>
    <x v="826"/>
    <x v="827"/>
  </r>
  <r>
    <n v="1051"/>
    <x v="227"/>
    <x v="0"/>
    <x v="1"/>
    <x v="827"/>
    <x v="45"/>
    <x v="0"/>
    <n v="3434.75"/>
    <n v="3659.42"/>
    <x v="1"/>
    <n v="0.16"/>
    <x v="0"/>
    <x v="0"/>
    <s v="West-Bob"/>
    <x v="7"/>
    <x v="2"/>
    <x v="828"/>
    <x v="827"/>
    <x v="828"/>
  </r>
  <r>
    <n v="1045"/>
    <x v="267"/>
    <x v="2"/>
    <x v="2"/>
    <x v="828"/>
    <x v="22"/>
    <x v="0"/>
    <n v="3777.94"/>
    <n v="4188.66"/>
    <x v="1"/>
    <n v="0.17"/>
    <x v="1"/>
    <x v="0"/>
    <s v="South-Charlie"/>
    <x v="5"/>
    <x v="1"/>
    <x v="829"/>
    <x v="828"/>
    <x v="829"/>
  </r>
  <r>
    <n v="1077"/>
    <x v="279"/>
    <x v="4"/>
    <x v="1"/>
    <x v="829"/>
    <x v="47"/>
    <x v="3"/>
    <n v="3650.89"/>
    <n v="3930.06"/>
    <x v="1"/>
    <n v="0.17"/>
    <x v="1"/>
    <x v="0"/>
    <s v="West-Alice"/>
    <x v="7"/>
    <x v="5"/>
    <x v="830"/>
    <x v="829"/>
    <x v="830"/>
  </r>
  <r>
    <n v="1004"/>
    <x v="326"/>
    <x v="3"/>
    <x v="2"/>
    <x v="830"/>
    <x v="30"/>
    <x v="2"/>
    <n v="4354.6000000000004"/>
    <n v="4820.2"/>
    <x v="1"/>
    <n v="0.14000000000000001"/>
    <x v="2"/>
    <x v="1"/>
    <s v="South-Eve"/>
    <x v="2"/>
    <x v="1"/>
    <x v="831"/>
    <x v="830"/>
    <x v="831"/>
  </r>
  <r>
    <n v="1062"/>
    <x v="328"/>
    <x v="1"/>
    <x v="2"/>
    <x v="831"/>
    <x v="16"/>
    <x v="3"/>
    <n v="987.74"/>
    <n v="1462.19"/>
    <x v="1"/>
    <n v="0.24"/>
    <x v="1"/>
    <x v="0"/>
    <s v="South-David"/>
    <x v="11"/>
    <x v="1"/>
    <x v="832"/>
    <x v="831"/>
    <x v="832"/>
  </r>
  <r>
    <n v="1065"/>
    <x v="243"/>
    <x v="0"/>
    <x v="2"/>
    <x v="832"/>
    <x v="26"/>
    <x v="3"/>
    <n v="2035.68"/>
    <n v="2079.64"/>
    <x v="0"/>
    <n v="0.04"/>
    <x v="0"/>
    <x v="0"/>
    <s v="South-Bob"/>
    <x v="5"/>
    <x v="0"/>
    <x v="833"/>
    <x v="832"/>
    <x v="833"/>
  </r>
  <r>
    <n v="1032"/>
    <x v="288"/>
    <x v="4"/>
    <x v="0"/>
    <x v="833"/>
    <x v="46"/>
    <x v="3"/>
    <n v="4741.59"/>
    <n v="4975.2299999999996"/>
    <x v="1"/>
    <n v="0.09"/>
    <x v="2"/>
    <x v="0"/>
    <s v="North-Alice"/>
    <x v="4"/>
    <x v="4"/>
    <x v="834"/>
    <x v="833"/>
    <x v="834"/>
  </r>
  <r>
    <n v="1034"/>
    <x v="88"/>
    <x v="2"/>
    <x v="1"/>
    <x v="834"/>
    <x v="27"/>
    <x v="1"/>
    <n v="2013.12"/>
    <n v="2321.87"/>
    <x v="1"/>
    <n v="0.18"/>
    <x v="1"/>
    <x v="1"/>
    <s v="West-Charlie"/>
    <x v="4"/>
    <x v="6"/>
    <x v="835"/>
    <x v="834"/>
    <x v="835"/>
  </r>
  <r>
    <n v="1092"/>
    <x v="116"/>
    <x v="0"/>
    <x v="3"/>
    <x v="835"/>
    <x v="46"/>
    <x v="1"/>
    <n v="668.11"/>
    <n v="803.49"/>
    <x v="1"/>
    <n v="0.21"/>
    <x v="1"/>
    <x v="0"/>
    <s v="East-Bob"/>
    <x v="10"/>
    <x v="1"/>
    <x v="836"/>
    <x v="835"/>
    <x v="836"/>
  </r>
  <r>
    <n v="1095"/>
    <x v="329"/>
    <x v="2"/>
    <x v="3"/>
    <x v="836"/>
    <x v="14"/>
    <x v="1"/>
    <n v="2650.95"/>
    <n v="2860.4199999999901"/>
    <x v="1"/>
    <n v="0.12"/>
    <x v="0"/>
    <x v="1"/>
    <s v="East-Charlie"/>
    <x v="1"/>
    <x v="4"/>
    <x v="837"/>
    <x v="836"/>
    <x v="837"/>
  </r>
  <r>
    <n v="1072"/>
    <x v="117"/>
    <x v="1"/>
    <x v="1"/>
    <x v="837"/>
    <x v="3"/>
    <x v="2"/>
    <n v="591.98"/>
    <n v="934.04"/>
    <x v="1"/>
    <n v="0.26"/>
    <x v="1"/>
    <x v="1"/>
    <s v="West-David"/>
    <x v="8"/>
    <x v="5"/>
    <x v="838"/>
    <x v="837"/>
    <x v="838"/>
  </r>
  <r>
    <n v="1039"/>
    <x v="203"/>
    <x v="3"/>
    <x v="2"/>
    <x v="838"/>
    <x v="41"/>
    <x v="3"/>
    <n v="1054.1199999999999"/>
    <n v="1175.21999999999"/>
    <x v="0"/>
    <n v="0.12"/>
    <x v="1"/>
    <x v="1"/>
    <s v="South-Eve"/>
    <x v="5"/>
    <x v="5"/>
    <x v="839"/>
    <x v="838"/>
    <x v="839"/>
  </r>
  <r>
    <n v="1026"/>
    <x v="324"/>
    <x v="0"/>
    <x v="3"/>
    <x v="839"/>
    <x v="12"/>
    <x v="3"/>
    <n v="4991.68"/>
    <n v="5296.65"/>
    <x v="1"/>
    <n v="0.12"/>
    <x v="1"/>
    <x v="0"/>
    <s v="East-Bob"/>
    <x v="4"/>
    <x v="4"/>
    <x v="840"/>
    <x v="839"/>
    <x v="840"/>
  </r>
  <r>
    <n v="1034"/>
    <x v="243"/>
    <x v="0"/>
    <x v="3"/>
    <x v="840"/>
    <x v="34"/>
    <x v="1"/>
    <n v="2729.75"/>
    <n v="3081.5"/>
    <x v="1"/>
    <n v="0.01"/>
    <x v="1"/>
    <x v="0"/>
    <s v="East-Bob"/>
    <x v="5"/>
    <x v="0"/>
    <x v="841"/>
    <x v="840"/>
    <x v="841"/>
  </r>
  <r>
    <n v="1054"/>
    <x v="330"/>
    <x v="1"/>
    <x v="1"/>
    <x v="841"/>
    <x v="30"/>
    <x v="3"/>
    <n v="1456.09"/>
    <n v="1510.4299999999901"/>
    <x v="0"/>
    <n v="0.17"/>
    <x v="0"/>
    <x v="1"/>
    <s v="West-David"/>
    <x v="6"/>
    <x v="0"/>
    <x v="842"/>
    <x v="841"/>
    <x v="842"/>
  </r>
  <r>
    <n v="1003"/>
    <x v="331"/>
    <x v="4"/>
    <x v="3"/>
    <x v="842"/>
    <x v="27"/>
    <x v="3"/>
    <n v="4974.1400000000003"/>
    <n v="5227.93"/>
    <x v="1"/>
    <n v="0.21"/>
    <x v="1"/>
    <x v="0"/>
    <s v="East-Alice"/>
    <x v="0"/>
    <x v="5"/>
    <x v="843"/>
    <x v="842"/>
    <x v="843"/>
  </r>
  <r>
    <n v="1050"/>
    <x v="272"/>
    <x v="3"/>
    <x v="2"/>
    <x v="843"/>
    <x v="8"/>
    <x v="0"/>
    <n v="4834.47"/>
    <n v="4973.38"/>
    <x v="0"/>
    <n v="0.03"/>
    <x v="1"/>
    <x v="0"/>
    <s v="South-Eve"/>
    <x v="11"/>
    <x v="3"/>
    <x v="844"/>
    <x v="843"/>
    <x v="844"/>
  </r>
  <r>
    <n v="1012"/>
    <x v="89"/>
    <x v="0"/>
    <x v="1"/>
    <x v="844"/>
    <x v="4"/>
    <x v="3"/>
    <n v="2231.66"/>
    <n v="2596.6099999999901"/>
    <x v="0"/>
    <n v="0.09"/>
    <x v="1"/>
    <x v="1"/>
    <s v="West-Bob"/>
    <x v="9"/>
    <x v="0"/>
    <x v="845"/>
    <x v="844"/>
    <x v="845"/>
  </r>
  <r>
    <n v="1065"/>
    <x v="253"/>
    <x v="3"/>
    <x v="2"/>
    <x v="845"/>
    <x v="4"/>
    <x v="0"/>
    <n v="1339"/>
    <n v="1441.88"/>
    <x v="0"/>
    <n v="0.23"/>
    <x v="2"/>
    <x v="1"/>
    <s v="South-Eve"/>
    <x v="6"/>
    <x v="0"/>
    <x v="846"/>
    <x v="845"/>
    <x v="846"/>
  </r>
  <r>
    <n v="1054"/>
    <x v="332"/>
    <x v="0"/>
    <x v="3"/>
    <x v="846"/>
    <x v="33"/>
    <x v="3"/>
    <n v="4200.08"/>
    <n v="4647.28"/>
    <x v="0"/>
    <n v="0.11"/>
    <x v="0"/>
    <x v="0"/>
    <s v="East-Bob"/>
    <x v="5"/>
    <x v="3"/>
    <x v="847"/>
    <x v="846"/>
    <x v="847"/>
  </r>
  <r>
    <n v="1005"/>
    <x v="94"/>
    <x v="3"/>
    <x v="3"/>
    <x v="847"/>
    <x v="40"/>
    <x v="2"/>
    <n v="3592.32"/>
    <n v="3813.48"/>
    <x v="1"/>
    <n v="7.0000000000000007E-2"/>
    <x v="2"/>
    <x v="1"/>
    <s v="East-Eve"/>
    <x v="8"/>
    <x v="5"/>
    <x v="848"/>
    <x v="847"/>
    <x v="848"/>
  </r>
  <r>
    <n v="1094"/>
    <x v="248"/>
    <x v="2"/>
    <x v="2"/>
    <x v="848"/>
    <x v="20"/>
    <x v="1"/>
    <n v="3450.36"/>
    <n v="3557.38"/>
    <x v="1"/>
    <n v="0.2"/>
    <x v="2"/>
    <x v="0"/>
    <s v="South-Charlie"/>
    <x v="0"/>
    <x v="6"/>
    <x v="849"/>
    <x v="848"/>
    <x v="849"/>
  </r>
  <r>
    <n v="1094"/>
    <x v="120"/>
    <x v="0"/>
    <x v="0"/>
    <x v="849"/>
    <x v="27"/>
    <x v="0"/>
    <n v="4470.91"/>
    <n v="4695.54"/>
    <x v="0"/>
    <n v="0.06"/>
    <x v="0"/>
    <x v="1"/>
    <s v="North-Bob"/>
    <x v="5"/>
    <x v="5"/>
    <x v="850"/>
    <x v="849"/>
    <x v="850"/>
  </r>
  <r>
    <n v="1057"/>
    <x v="115"/>
    <x v="3"/>
    <x v="3"/>
    <x v="850"/>
    <x v="33"/>
    <x v="1"/>
    <n v="3462.61"/>
    <n v="3672.89"/>
    <x v="0"/>
    <n v="0.27"/>
    <x v="2"/>
    <x v="0"/>
    <s v="East-Eve"/>
    <x v="6"/>
    <x v="0"/>
    <x v="851"/>
    <x v="850"/>
    <x v="851"/>
  </r>
  <r>
    <n v="1017"/>
    <x v="195"/>
    <x v="4"/>
    <x v="0"/>
    <x v="851"/>
    <x v="8"/>
    <x v="0"/>
    <n v="1454.8"/>
    <n v="1674.97"/>
    <x v="1"/>
    <n v="0.03"/>
    <x v="2"/>
    <x v="0"/>
    <s v="North-Alice"/>
    <x v="3"/>
    <x v="1"/>
    <x v="852"/>
    <x v="851"/>
    <x v="852"/>
  </r>
  <r>
    <n v="1047"/>
    <x v="312"/>
    <x v="2"/>
    <x v="3"/>
    <x v="852"/>
    <x v="12"/>
    <x v="0"/>
    <n v="3484.62"/>
    <n v="3781.5499999999902"/>
    <x v="0"/>
    <n v="0.21"/>
    <x v="2"/>
    <x v="1"/>
    <s v="East-Charlie"/>
    <x v="11"/>
    <x v="3"/>
    <x v="853"/>
    <x v="852"/>
    <x v="853"/>
  </r>
  <r>
    <n v="1023"/>
    <x v="80"/>
    <x v="2"/>
    <x v="0"/>
    <x v="853"/>
    <x v="29"/>
    <x v="0"/>
    <n v="1563.78"/>
    <n v="1829.1599999999901"/>
    <x v="0"/>
    <n v="0.15"/>
    <x v="0"/>
    <x v="0"/>
    <s v="North-Charlie"/>
    <x v="2"/>
    <x v="2"/>
    <x v="854"/>
    <x v="853"/>
    <x v="854"/>
  </r>
  <r>
    <n v="1079"/>
    <x v="3"/>
    <x v="4"/>
    <x v="0"/>
    <x v="854"/>
    <x v="29"/>
    <x v="2"/>
    <n v="3808.23"/>
    <n v="3891.62"/>
    <x v="0"/>
    <n v="0.26"/>
    <x v="1"/>
    <x v="0"/>
    <s v="North-Alice"/>
    <x v="3"/>
    <x v="1"/>
    <x v="855"/>
    <x v="854"/>
    <x v="855"/>
  </r>
  <r>
    <n v="1085"/>
    <x v="283"/>
    <x v="3"/>
    <x v="0"/>
    <x v="855"/>
    <x v="31"/>
    <x v="3"/>
    <n v="3117.75"/>
    <n v="3159.88"/>
    <x v="1"/>
    <n v="0.04"/>
    <x v="0"/>
    <x v="1"/>
    <s v="North-Eve"/>
    <x v="9"/>
    <x v="6"/>
    <x v="856"/>
    <x v="855"/>
    <x v="856"/>
  </r>
  <r>
    <n v="1014"/>
    <x v="132"/>
    <x v="1"/>
    <x v="2"/>
    <x v="856"/>
    <x v="42"/>
    <x v="0"/>
    <n v="433.19"/>
    <n v="800.6"/>
    <x v="0"/>
    <n v="0.2"/>
    <x v="0"/>
    <x v="0"/>
    <s v="South-David"/>
    <x v="3"/>
    <x v="6"/>
    <x v="857"/>
    <x v="856"/>
    <x v="857"/>
  </r>
  <r>
    <n v="1066"/>
    <x v="231"/>
    <x v="4"/>
    <x v="0"/>
    <x v="857"/>
    <x v="10"/>
    <x v="2"/>
    <n v="2588.54"/>
    <n v="2872.8"/>
    <x v="1"/>
    <n v="0.17"/>
    <x v="0"/>
    <x v="0"/>
    <s v="North-Alice"/>
    <x v="5"/>
    <x v="4"/>
    <x v="858"/>
    <x v="857"/>
    <x v="858"/>
  </r>
  <r>
    <n v="1075"/>
    <x v="196"/>
    <x v="3"/>
    <x v="0"/>
    <x v="858"/>
    <x v="42"/>
    <x v="0"/>
    <n v="1749.34"/>
    <n v="1935.25"/>
    <x v="1"/>
    <n v="0.14000000000000001"/>
    <x v="2"/>
    <x v="0"/>
    <s v="North-Eve"/>
    <x v="6"/>
    <x v="1"/>
    <x v="859"/>
    <x v="858"/>
    <x v="859"/>
  </r>
  <r>
    <n v="1051"/>
    <x v="78"/>
    <x v="4"/>
    <x v="0"/>
    <x v="859"/>
    <x v="18"/>
    <x v="3"/>
    <n v="1676.42"/>
    <n v="2082.52"/>
    <x v="1"/>
    <n v="0.15"/>
    <x v="1"/>
    <x v="1"/>
    <s v="North-Alice"/>
    <x v="8"/>
    <x v="6"/>
    <x v="860"/>
    <x v="859"/>
    <x v="860"/>
  </r>
  <r>
    <n v="1038"/>
    <x v="159"/>
    <x v="4"/>
    <x v="3"/>
    <x v="860"/>
    <x v="8"/>
    <x v="0"/>
    <n v="3031.17"/>
    <n v="3231.32"/>
    <x v="0"/>
    <n v="0.22"/>
    <x v="0"/>
    <x v="1"/>
    <s v="East-Alice"/>
    <x v="3"/>
    <x v="6"/>
    <x v="861"/>
    <x v="860"/>
    <x v="861"/>
  </r>
  <r>
    <n v="1064"/>
    <x v="167"/>
    <x v="0"/>
    <x v="0"/>
    <x v="861"/>
    <x v="4"/>
    <x v="2"/>
    <n v="1645.51"/>
    <n v="2045.53"/>
    <x v="0"/>
    <n v="0.28000000000000003"/>
    <x v="0"/>
    <x v="1"/>
    <s v="North-Bob"/>
    <x v="1"/>
    <x v="1"/>
    <x v="862"/>
    <x v="861"/>
    <x v="862"/>
  </r>
  <r>
    <n v="1098"/>
    <x v="176"/>
    <x v="3"/>
    <x v="3"/>
    <x v="862"/>
    <x v="40"/>
    <x v="3"/>
    <n v="3895.62"/>
    <n v="4055.44"/>
    <x v="1"/>
    <n v="0.03"/>
    <x v="1"/>
    <x v="1"/>
    <s v="East-Eve"/>
    <x v="9"/>
    <x v="5"/>
    <x v="863"/>
    <x v="862"/>
    <x v="863"/>
  </r>
  <r>
    <n v="1038"/>
    <x v="288"/>
    <x v="1"/>
    <x v="0"/>
    <x v="863"/>
    <x v="14"/>
    <x v="2"/>
    <n v="400.42"/>
    <n v="446.11"/>
    <x v="1"/>
    <n v="0.01"/>
    <x v="1"/>
    <x v="1"/>
    <s v="North-David"/>
    <x v="4"/>
    <x v="4"/>
    <x v="864"/>
    <x v="863"/>
    <x v="864"/>
  </r>
  <r>
    <n v="1050"/>
    <x v="249"/>
    <x v="0"/>
    <x v="0"/>
    <x v="864"/>
    <x v="46"/>
    <x v="3"/>
    <n v="3318.92"/>
    <n v="3785.91"/>
    <x v="1"/>
    <n v="0.24"/>
    <x v="1"/>
    <x v="0"/>
    <s v="North-Bob"/>
    <x v="4"/>
    <x v="5"/>
    <x v="865"/>
    <x v="864"/>
    <x v="865"/>
  </r>
  <r>
    <n v="1098"/>
    <x v="333"/>
    <x v="4"/>
    <x v="2"/>
    <x v="865"/>
    <x v="12"/>
    <x v="3"/>
    <n v="4055.51"/>
    <n v="4258.84"/>
    <x v="0"/>
    <n v="0.03"/>
    <x v="2"/>
    <x v="0"/>
    <s v="South-Alice"/>
    <x v="11"/>
    <x v="4"/>
    <x v="866"/>
    <x v="865"/>
    <x v="866"/>
  </r>
  <r>
    <n v="1082"/>
    <x v="230"/>
    <x v="4"/>
    <x v="3"/>
    <x v="866"/>
    <x v="10"/>
    <x v="1"/>
    <n v="3380.52"/>
    <n v="3778.94"/>
    <x v="0"/>
    <n v="0.3"/>
    <x v="1"/>
    <x v="0"/>
    <s v="East-Alice"/>
    <x v="11"/>
    <x v="0"/>
    <x v="867"/>
    <x v="866"/>
    <x v="867"/>
  </r>
  <r>
    <n v="1030"/>
    <x v="288"/>
    <x v="4"/>
    <x v="0"/>
    <x v="867"/>
    <x v="3"/>
    <x v="1"/>
    <n v="2511.2800000000002"/>
    <n v="2658.06"/>
    <x v="1"/>
    <n v="0.19"/>
    <x v="2"/>
    <x v="1"/>
    <s v="North-Alice"/>
    <x v="4"/>
    <x v="4"/>
    <x v="868"/>
    <x v="867"/>
    <x v="868"/>
  </r>
  <r>
    <n v="1079"/>
    <x v="17"/>
    <x v="3"/>
    <x v="3"/>
    <x v="868"/>
    <x v="26"/>
    <x v="1"/>
    <n v="4754.0200000000004"/>
    <n v="5080.74"/>
    <x v="1"/>
    <n v="0.2"/>
    <x v="0"/>
    <x v="0"/>
    <s v="East-Eve"/>
    <x v="7"/>
    <x v="6"/>
    <x v="869"/>
    <x v="868"/>
    <x v="869"/>
  </r>
  <r>
    <n v="1091"/>
    <x v="279"/>
    <x v="3"/>
    <x v="3"/>
    <x v="869"/>
    <x v="13"/>
    <x v="3"/>
    <n v="1534.7"/>
    <n v="1972.62"/>
    <x v="0"/>
    <n v="0.06"/>
    <x v="2"/>
    <x v="1"/>
    <s v="East-Eve"/>
    <x v="7"/>
    <x v="5"/>
    <x v="870"/>
    <x v="869"/>
    <x v="870"/>
  </r>
  <r>
    <n v="1051"/>
    <x v="10"/>
    <x v="0"/>
    <x v="1"/>
    <x v="870"/>
    <x v="17"/>
    <x v="0"/>
    <n v="144.88"/>
    <n v="175.29"/>
    <x v="1"/>
    <n v="7.0000000000000007E-2"/>
    <x v="1"/>
    <x v="0"/>
    <s v="West-Bob"/>
    <x v="8"/>
    <x v="1"/>
    <x v="871"/>
    <x v="870"/>
    <x v="871"/>
  </r>
  <r>
    <n v="1063"/>
    <x v="293"/>
    <x v="1"/>
    <x v="2"/>
    <x v="871"/>
    <x v="28"/>
    <x v="2"/>
    <n v="2188.35"/>
    <n v="2605.3599999999901"/>
    <x v="0"/>
    <n v="0.2"/>
    <x v="2"/>
    <x v="1"/>
    <s v="South-David"/>
    <x v="9"/>
    <x v="4"/>
    <x v="872"/>
    <x v="871"/>
    <x v="872"/>
  </r>
  <r>
    <n v="1098"/>
    <x v="200"/>
    <x v="0"/>
    <x v="2"/>
    <x v="872"/>
    <x v="23"/>
    <x v="2"/>
    <n v="213.41"/>
    <n v="503.36"/>
    <x v="0"/>
    <n v="0.27"/>
    <x v="1"/>
    <x v="0"/>
    <s v="South-Bob"/>
    <x v="5"/>
    <x v="4"/>
    <x v="873"/>
    <x v="872"/>
    <x v="873"/>
  </r>
  <r>
    <n v="1052"/>
    <x v="25"/>
    <x v="2"/>
    <x v="2"/>
    <x v="873"/>
    <x v="42"/>
    <x v="2"/>
    <n v="4771.99"/>
    <n v="5079.6499999999996"/>
    <x v="1"/>
    <n v="0.28999999999999998"/>
    <x v="2"/>
    <x v="0"/>
    <s v="South-Charlie"/>
    <x v="1"/>
    <x v="6"/>
    <x v="874"/>
    <x v="873"/>
    <x v="874"/>
  </r>
  <r>
    <n v="1038"/>
    <x v="196"/>
    <x v="4"/>
    <x v="1"/>
    <x v="874"/>
    <x v="31"/>
    <x v="1"/>
    <n v="1089.0899999999999"/>
    <n v="1355.44"/>
    <x v="1"/>
    <n v="0.06"/>
    <x v="0"/>
    <x v="1"/>
    <s v="West-Alice"/>
    <x v="6"/>
    <x v="1"/>
    <x v="875"/>
    <x v="874"/>
    <x v="875"/>
  </r>
  <r>
    <n v="1097"/>
    <x v="188"/>
    <x v="4"/>
    <x v="1"/>
    <x v="875"/>
    <x v="30"/>
    <x v="3"/>
    <n v="3955.19"/>
    <n v="4393.68"/>
    <x v="0"/>
    <n v="0.04"/>
    <x v="2"/>
    <x v="0"/>
    <s v="West-Alice"/>
    <x v="0"/>
    <x v="6"/>
    <x v="876"/>
    <x v="875"/>
    <x v="876"/>
  </r>
  <r>
    <n v="1088"/>
    <x v="142"/>
    <x v="4"/>
    <x v="2"/>
    <x v="876"/>
    <x v="23"/>
    <x v="1"/>
    <n v="3884.13"/>
    <n v="3915.41"/>
    <x v="0"/>
    <n v="0.02"/>
    <x v="0"/>
    <x v="0"/>
    <s v="South-Alice"/>
    <x v="5"/>
    <x v="6"/>
    <x v="877"/>
    <x v="876"/>
    <x v="877"/>
  </r>
  <r>
    <n v="1079"/>
    <x v="275"/>
    <x v="0"/>
    <x v="1"/>
    <x v="877"/>
    <x v="34"/>
    <x v="0"/>
    <n v="1127.76"/>
    <n v="1265.6600000000001"/>
    <x v="0"/>
    <n v="0.26"/>
    <x v="1"/>
    <x v="1"/>
    <s v="West-Bob"/>
    <x v="7"/>
    <x v="2"/>
    <x v="878"/>
    <x v="877"/>
    <x v="878"/>
  </r>
  <r>
    <n v="1030"/>
    <x v="262"/>
    <x v="0"/>
    <x v="1"/>
    <x v="878"/>
    <x v="24"/>
    <x v="3"/>
    <n v="3125.07"/>
    <n v="3564.19"/>
    <x v="0"/>
    <n v="0.09"/>
    <x v="0"/>
    <x v="0"/>
    <s v="West-Bob"/>
    <x v="3"/>
    <x v="2"/>
    <x v="879"/>
    <x v="878"/>
    <x v="879"/>
  </r>
  <r>
    <n v="1051"/>
    <x v="15"/>
    <x v="4"/>
    <x v="1"/>
    <x v="879"/>
    <x v="8"/>
    <x v="2"/>
    <n v="287.99"/>
    <n v="666.64"/>
    <x v="0"/>
    <n v="0"/>
    <x v="1"/>
    <x v="0"/>
    <s v="West-Alice"/>
    <x v="7"/>
    <x v="4"/>
    <x v="880"/>
    <x v="879"/>
    <x v="880"/>
  </r>
  <r>
    <n v="1081"/>
    <x v="265"/>
    <x v="0"/>
    <x v="2"/>
    <x v="880"/>
    <x v="12"/>
    <x v="1"/>
    <n v="2443.69"/>
    <n v="2462.34"/>
    <x v="1"/>
    <n v="7.0000000000000007E-2"/>
    <x v="1"/>
    <x v="1"/>
    <s v="South-Bob"/>
    <x v="1"/>
    <x v="6"/>
    <x v="881"/>
    <x v="880"/>
    <x v="881"/>
  </r>
  <r>
    <n v="1005"/>
    <x v="91"/>
    <x v="3"/>
    <x v="2"/>
    <x v="881"/>
    <x v="32"/>
    <x v="1"/>
    <n v="122.5"/>
    <n v="385.83"/>
    <x v="0"/>
    <n v="0.1"/>
    <x v="0"/>
    <x v="1"/>
    <s v="South-Eve"/>
    <x v="2"/>
    <x v="5"/>
    <x v="882"/>
    <x v="881"/>
    <x v="882"/>
  </r>
  <r>
    <n v="1029"/>
    <x v="159"/>
    <x v="3"/>
    <x v="2"/>
    <x v="882"/>
    <x v="7"/>
    <x v="0"/>
    <n v="4609.66"/>
    <n v="4879.1499999999996"/>
    <x v="0"/>
    <n v="0.3"/>
    <x v="0"/>
    <x v="1"/>
    <s v="South-Eve"/>
    <x v="3"/>
    <x v="6"/>
    <x v="883"/>
    <x v="882"/>
    <x v="883"/>
  </r>
  <r>
    <n v="1004"/>
    <x v="109"/>
    <x v="0"/>
    <x v="1"/>
    <x v="883"/>
    <x v="34"/>
    <x v="0"/>
    <n v="4881.63"/>
    <n v="5088.0600000000004"/>
    <x v="0"/>
    <n v="0.16"/>
    <x v="2"/>
    <x v="1"/>
    <s v="West-Bob"/>
    <x v="6"/>
    <x v="6"/>
    <x v="884"/>
    <x v="883"/>
    <x v="884"/>
  </r>
  <r>
    <n v="1010"/>
    <x v="210"/>
    <x v="4"/>
    <x v="2"/>
    <x v="884"/>
    <x v="37"/>
    <x v="1"/>
    <n v="1150.3"/>
    <n v="1306.02"/>
    <x v="1"/>
    <n v="0.06"/>
    <x v="2"/>
    <x v="1"/>
    <s v="South-Alice"/>
    <x v="4"/>
    <x v="6"/>
    <x v="885"/>
    <x v="884"/>
    <x v="885"/>
  </r>
  <r>
    <n v="1056"/>
    <x v="241"/>
    <x v="0"/>
    <x v="1"/>
    <x v="885"/>
    <x v="31"/>
    <x v="0"/>
    <n v="1080.1199999999999"/>
    <n v="1424.1699999999901"/>
    <x v="1"/>
    <n v="0.1"/>
    <x v="0"/>
    <x v="0"/>
    <s v="West-Bob"/>
    <x v="0"/>
    <x v="0"/>
    <x v="886"/>
    <x v="885"/>
    <x v="886"/>
  </r>
  <r>
    <n v="1017"/>
    <x v="85"/>
    <x v="0"/>
    <x v="0"/>
    <x v="886"/>
    <x v="40"/>
    <x v="2"/>
    <n v="3780.91"/>
    <n v="3892.73"/>
    <x v="0"/>
    <n v="0.1"/>
    <x v="0"/>
    <x v="1"/>
    <s v="North-Bob"/>
    <x v="4"/>
    <x v="0"/>
    <x v="887"/>
    <x v="886"/>
    <x v="887"/>
  </r>
  <r>
    <n v="1074"/>
    <x v="248"/>
    <x v="0"/>
    <x v="1"/>
    <x v="887"/>
    <x v="21"/>
    <x v="0"/>
    <n v="1304.23"/>
    <n v="1705.71"/>
    <x v="0"/>
    <n v="0.01"/>
    <x v="0"/>
    <x v="1"/>
    <s v="West-Bob"/>
    <x v="0"/>
    <x v="6"/>
    <x v="888"/>
    <x v="887"/>
    <x v="888"/>
  </r>
  <r>
    <n v="1017"/>
    <x v="294"/>
    <x v="2"/>
    <x v="3"/>
    <x v="888"/>
    <x v="22"/>
    <x v="0"/>
    <n v="4480.63"/>
    <n v="4884.12"/>
    <x v="1"/>
    <n v="0.04"/>
    <x v="0"/>
    <x v="0"/>
    <s v="East-Charlie"/>
    <x v="6"/>
    <x v="0"/>
    <x v="889"/>
    <x v="888"/>
    <x v="889"/>
  </r>
  <r>
    <n v="1084"/>
    <x v="270"/>
    <x v="3"/>
    <x v="2"/>
    <x v="889"/>
    <x v="11"/>
    <x v="1"/>
    <n v="2890.95"/>
    <n v="3104.43"/>
    <x v="1"/>
    <n v="0.21"/>
    <x v="1"/>
    <x v="0"/>
    <s v="South-Eve"/>
    <x v="4"/>
    <x v="3"/>
    <x v="890"/>
    <x v="889"/>
    <x v="890"/>
  </r>
  <r>
    <n v="1088"/>
    <x v="250"/>
    <x v="1"/>
    <x v="2"/>
    <x v="890"/>
    <x v="29"/>
    <x v="1"/>
    <n v="1786.35"/>
    <n v="1935.29"/>
    <x v="1"/>
    <n v="0.04"/>
    <x v="0"/>
    <x v="0"/>
    <s v="South-David"/>
    <x v="8"/>
    <x v="4"/>
    <x v="891"/>
    <x v="890"/>
    <x v="891"/>
  </r>
  <r>
    <n v="1069"/>
    <x v="126"/>
    <x v="1"/>
    <x v="3"/>
    <x v="891"/>
    <x v="20"/>
    <x v="3"/>
    <n v="4171.83"/>
    <n v="4320.93"/>
    <x v="1"/>
    <n v="7.0000000000000007E-2"/>
    <x v="0"/>
    <x v="0"/>
    <s v="East-David"/>
    <x v="4"/>
    <x v="4"/>
    <x v="892"/>
    <x v="891"/>
    <x v="892"/>
  </r>
  <r>
    <n v="1034"/>
    <x v="154"/>
    <x v="2"/>
    <x v="1"/>
    <x v="892"/>
    <x v="48"/>
    <x v="3"/>
    <n v="2492.36"/>
    <n v="2738.68"/>
    <x v="0"/>
    <n v="0.11"/>
    <x v="0"/>
    <x v="0"/>
    <s v="West-Charlie"/>
    <x v="1"/>
    <x v="5"/>
    <x v="893"/>
    <x v="892"/>
    <x v="893"/>
  </r>
  <r>
    <n v="1006"/>
    <x v="141"/>
    <x v="0"/>
    <x v="0"/>
    <x v="893"/>
    <x v="23"/>
    <x v="1"/>
    <n v="4562.58"/>
    <n v="4925.17"/>
    <x v="1"/>
    <n v="0.23"/>
    <x v="0"/>
    <x v="1"/>
    <s v="North-Bob"/>
    <x v="10"/>
    <x v="5"/>
    <x v="894"/>
    <x v="893"/>
    <x v="894"/>
  </r>
  <r>
    <n v="1053"/>
    <x v="67"/>
    <x v="2"/>
    <x v="3"/>
    <x v="894"/>
    <x v="3"/>
    <x v="0"/>
    <n v="4643.67"/>
    <n v="4829.5200000000004"/>
    <x v="0"/>
    <n v="0.17"/>
    <x v="1"/>
    <x v="0"/>
    <s v="East-Charlie"/>
    <x v="6"/>
    <x v="2"/>
    <x v="895"/>
    <x v="894"/>
    <x v="895"/>
  </r>
  <r>
    <n v="1066"/>
    <x v="166"/>
    <x v="2"/>
    <x v="3"/>
    <x v="895"/>
    <x v="41"/>
    <x v="0"/>
    <n v="868.83"/>
    <n v="1177.75"/>
    <x v="0"/>
    <n v="0.21"/>
    <x v="2"/>
    <x v="1"/>
    <s v="East-Charlie"/>
    <x v="11"/>
    <x v="0"/>
    <x v="896"/>
    <x v="895"/>
    <x v="896"/>
  </r>
  <r>
    <n v="1077"/>
    <x v="318"/>
    <x v="4"/>
    <x v="1"/>
    <x v="896"/>
    <x v="44"/>
    <x v="3"/>
    <n v="61.5"/>
    <n v="258.91999999999899"/>
    <x v="1"/>
    <n v="0.17"/>
    <x v="2"/>
    <x v="0"/>
    <s v="West-Alice"/>
    <x v="3"/>
    <x v="6"/>
    <x v="897"/>
    <x v="896"/>
    <x v="897"/>
  </r>
  <r>
    <n v="1043"/>
    <x v="111"/>
    <x v="3"/>
    <x v="2"/>
    <x v="897"/>
    <x v="26"/>
    <x v="3"/>
    <n v="4920.46"/>
    <n v="5079.68"/>
    <x v="1"/>
    <n v="0.21"/>
    <x v="2"/>
    <x v="1"/>
    <s v="South-Eve"/>
    <x v="9"/>
    <x v="3"/>
    <x v="898"/>
    <x v="897"/>
    <x v="898"/>
  </r>
  <r>
    <n v="1075"/>
    <x v="219"/>
    <x v="1"/>
    <x v="1"/>
    <x v="898"/>
    <x v="42"/>
    <x v="3"/>
    <n v="4535.38"/>
    <n v="4557.5600000000004"/>
    <x v="1"/>
    <n v="0"/>
    <x v="2"/>
    <x v="0"/>
    <s v="West-David"/>
    <x v="5"/>
    <x v="4"/>
    <x v="899"/>
    <x v="898"/>
    <x v="899"/>
  </r>
  <r>
    <n v="1023"/>
    <x v="53"/>
    <x v="0"/>
    <x v="3"/>
    <x v="899"/>
    <x v="34"/>
    <x v="2"/>
    <n v="324.45"/>
    <n v="336.37"/>
    <x v="1"/>
    <n v="0.28000000000000003"/>
    <x v="2"/>
    <x v="1"/>
    <s v="East-Bob"/>
    <x v="3"/>
    <x v="5"/>
    <x v="900"/>
    <x v="899"/>
    <x v="900"/>
  </r>
  <r>
    <n v="1055"/>
    <x v="15"/>
    <x v="1"/>
    <x v="3"/>
    <x v="900"/>
    <x v="7"/>
    <x v="2"/>
    <n v="4173.5200000000004"/>
    <n v="4294.8500000000004"/>
    <x v="0"/>
    <n v="0.03"/>
    <x v="1"/>
    <x v="1"/>
    <s v="East-David"/>
    <x v="7"/>
    <x v="4"/>
    <x v="901"/>
    <x v="900"/>
    <x v="901"/>
  </r>
  <r>
    <n v="1080"/>
    <x v="314"/>
    <x v="1"/>
    <x v="2"/>
    <x v="901"/>
    <x v="26"/>
    <x v="3"/>
    <n v="2316.13"/>
    <n v="2525.27"/>
    <x v="0"/>
    <n v="0.12"/>
    <x v="2"/>
    <x v="1"/>
    <s v="South-David"/>
    <x v="3"/>
    <x v="4"/>
    <x v="902"/>
    <x v="901"/>
    <x v="902"/>
  </r>
  <r>
    <n v="1095"/>
    <x v="313"/>
    <x v="3"/>
    <x v="2"/>
    <x v="902"/>
    <x v="8"/>
    <x v="0"/>
    <n v="1331.86"/>
    <n v="1758.98"/>
    <x v="0"/>
    <n v="0.23"/>
    <x v="1"/>
    <x v="1"/>
    <s v="South-Eve"/>
    <x v="4"/>
    <x v="2"/>
    <x v="903"/>
    <x v="902"/>
    <x v="903"/>
  </r>
  <r>
    <n v="1075"/>
    <x v="334"/>
    <x v="1"/>
    <x v="2"/>
    <x v="903"/>
    <x v="35"/>
    <x v="3"/>
    <n v="4399.8"/>
    <n v="4801.0600000000004"/>
    <x v="1"/>
    <n v="0.13"/>
    <x v="1"/>
    <x v="1"/>
    <s v="South-David"/>
    <x v="1"/>
    <x v="6"/>
    <x v="904"/>
    <x v="903"/>
    <x v="904"/>
  </r>
  <r>
    <n v="1016"/>
    <x v="168"/>
    <x v="1"/>
    <x v="1"/>
    <x v="904"/>
    <x v="7"/>
    <x v="2"/>
    <n v="1023.5"/>
    <n v="1164.4100000000001"/>
    <x v="0"/>
    <n v="0.28000000000000003"/>
    <x v="2"/>
    <x v="1"/>
    <s v="West-David"/>
    <x v="6"/>
    <x v="2"/>
    <x v="905"/>
    <x v="904"/>
    <x v="905"/>
  </r>
  <r>
    <n v="1008"/>
    <x v="274"/>
    <x v="2"/>
    <x v="2"/>
    <x v="905"/>
    <x v="38"/>
    <x v="0"/>
    <n v="4739.13"/>
    <n v="4868.95"/>
    <x v="1"/>
    <n v="0.14000000000000001"/>
    <x v="2"/>
    <x v="1"/>
    <s v="South-Charlie"/>
    <x v="1"/>
    <x v="1"/>
    <x v="906"/>
    <x v="905"/>
    <x v="906"/>
  </r>
  <r>
    <n v="1004"/>
    <x v="43"/>
    <x v="3"/>
    <x v="3"/>
    <x v="906"/>
    <x v="25"/>
    <x v="2"/>
    <n v="1067.83"/>
    <n v="1189.22"/>
    <x v="0"/>
    <n v="0.26"/>
    <x v="2"/>
    <x v="1"/>
    <s v="East-Eve"/>
    <x v="11"/>
    <x v="1"/>
    <x v="907"/>
    <x v="906"/>
    <x v="907"/>
  </r>
  <r>
    <n v="1004"/>
    <x v="196"/>
    <x v="4"/>
    <x v="3"/>
    <x v="907"/>
    <x v="4"/>
    <x v="0"/>
    <n v="3087.73"/>
    <n v="3263.96"/>
    <x v="1"/>
    <n v="0.24"/>
    <x v="0"/>
    <x v="1"/>
    <s v="East-Alice"/>
    <x v="6"/>
    <x v="1"/>
    <x v="908"/>
    <x v="907"/>
    <x v="908"/>
  </r>
  <r>
    <n v="1056"/>
    <x v="197"/>
    <x v="0"/>
    <x v="0"/>
    <x v="908"/>
    <x v="44"/>
    <x v="2"/>
    <n v="1154.28"/>
    <n v="1408.4"/>
    <x v="0"/>
    <n v="0.28999999999999998"/>
    <x v="1"/>
    <x v="1"/>
    <s v="North-Bob"/>
    <x v="9"/>
    <x v="4"/>
    <x v="909"/>
    <x v="908"/>
    <x v="909"/>
  </r>
  <r>
    <n v="1025"/>
    <x v="59"/>
    <x v="1"/>
    <x v="1"/>
    <x v="909"/>
    <x v="41"/>
    <x v="0"/>
    <n v="2751.06"/>
    <n v="2976.0099999999902"/>
    <x v="0"/>
    <n v="0.28000000000000003"/>
    <x v="2"/>
    <x v="0"/>
    <s v="West-David"/>
    <x v="4"/>
    <x v="0"/>
    <x v="910"/>
    <x v="909"/>
    <x v="910"/>
  </r>
  <r>
    <n v="1067"/>
    <x v="330"/>
    <x v="0"/>
    <x v="0"/>
    <x v="910"/>
    <x v="23"/>
    <x v="0"/>
    <n v="3435.68"/>
    <n v="3552.6299999999901"/>
    <x v="1"/>
    <n v="0.27"/>
    <x v="0"/>
    <x v="1"/>
    <s v="North-Bob"/>
    <x v="6"/>
    <x v="0"/>
    <x v="911"/>
    <x v="910"/>
    <x v="911"/>
  </r>
  <r>
    <n v="1096"/>
    <x v="247"/>
    <x v="4"/>
    <x v="3"/>
    <x v="911"/>
    <x v="5"/>
    <x v="0"/>
    <n v="991.63"/>
    <n v="1065.55"/>
    <x v="0"/>
    <n v="0.22"/>
    <x v="1"/>
    <x v="1"/>
    <s v="East-Alice"/>
    <x v="10"/>
    <x v="3"/>
    <x v="912"/>
    <x v="911"/>
    <x v="912"/>
  </r>
  <r>
    <n v="1067"/>
    <x v="114"/>
    <x v="0"/>
    <x v="0"/>
    <x v="912"/>
    <x v="37"/>
    <x v="0"/>
    <n v="2628.38"/>
    <n v="2644.54"/>
    <x v="0"/>
    <n v="0.11"/>
    <x v="0"/>
    <x v="0"/>
    <s v="North-Bob"/>
    <x v="10"/>
    <x v="3"/>
    <x v="913"/>
    <x v="912"/>
    <x v="913"/>
  </r>
  <r>
    <n v="1027"/>
    <x v="153"/>
    <x v="4"/>
    <x v="3"/>
    <x v="913"/>
    <x v="48"/>
    <x v="1"/>
    <n v="2371.85"/>
    <n v="2457.29"/>
    <x v="1"/>
    <n v="0.03"/>
    <x v="0"/>
    <x v="1"/>
    <s v="East-Alice"/>
    <x v="1"/>
    <x v="5"/>
    <x v="914"/>
    <x v="913"/>
    <x v="914"/>
  </r>
  <r>
    <n v="1093"/>
    <x v="82"/>
    <x v="2"/>
    <x v="0"/>
    <x v="914"/>
    <x v="7"/>
    <x v="2"/>
    <n v="401.64"/>
    <n v="757.26"/>
    <x v="1"/>
    <n v="0.21"/>
    <x v="2"/>
    <x v="1"/>
    <s v="North-Charlie"/>
    <x v="8"/>
    <x v="6"/>
    <x v="915"/>
    <x v="914"/>
    <x v="915"/>
  </r>
  <r>
    <n v="1032"/>
    <x v="143"/>
    <x v="1"/>
    <x v="2"/>
    <x v="915"/>
    <x v="23"/>
    <x v="2"/>
    <n v="4100.62"/>
    <n v="4230"/>
    <x v="1"/>
    <n v="0.28999999999999998"/>
    <x v="1"/>
    <x v="0"/>
    <s v="South-David"/>
    <x v="9"/>
    <x v="3"/>
    <x v="916"/>
    <x v="915"/>
    <x v="916"/>
  </r>
  <r>
    <n v="1050"/>
    <x v="335"/>
    <x v="4"/>
    <x v="0"/>
    <x v="916"/>
    <x v="40"/>
    <x v="1"/>
    <n v="1711.63"/>
    <n v="1951.24"/>
    <x v="1"/>
    <n v="0.22"/>
    <x v="0"/>
    <x v="0"/>
    <s v="North-Alice"/>
    <x v="8"/>
    <x v="4"/>
    <x v="917"/>
    <x v="916"/>
    <x v="917"/>
  </r>
  <r>
    <n v="1061"/>
    <x v="127"/>
    <x v="0"/>
    <x v="2"/>
    <x v="917"/>
    <x v="36"/>
    <x v="0"/>
    <n v="2894.18"/>
    <n v="3193.92"/>
    <x v="1"/>
    <n v="0.28000000000000003"/>
    <x v="1"/>
    <x v="1"/>
    <s v="South-Bob"/>
    <x v="10"/>
    <x v="6"/>
    <x v="918"/>
    <x v="917"/>
    <x v="918"/>
  </r>
  <r>
    <n v="1051"/>
    <x v="231"/>
    <x v="1"/>
    <x v="2"/>
    <x v="918"/>
    <x v="18"/>
    <x v="0"/>
    <n v="2598.1799999999998"/>
    <n v="3042.73"/>
    <x v="0"/>
    <n v="0.24"/>
    <x v="2"/>
    <x v="0"/>
    <s v="South-David"/>
    <x v="5"/>
    <x v="4"/>
    <x v="919"/>
    <x v="918"/>
    <x v="919"/>
  </r>
  <r>
    <n v="1019"/>
    <x v="291"/>
    <x v="2"/>
    <x v="1"/>
    <x v="919"/>
    <x v="27"/>
    <x v="2"/>
    <n v="2590.64"/>
    <n v="3036.18"/>
    <x v="1"/>
    <n v="0.05"/>
    <x v="1"/>
    <x v="1"/>
    <s v="West-Charlie"/>
    <x v="2"/>
    <x v="3"/>
    <x v="920"/>
    <x v="919"/>
    <x v="920"/>
  </r>
  <r>
    <n v="1021"/>
    <x v="260"/>
    <x v="1"/>
    <x v="2"/>
    <x v="920"/>
    <x v="18"/>
    <x v="1"/>
    <n v="580.75"/>
    <n v="956.16"/>
    <x v="0"/>
    <n v="7.0000000000000007E-2"/>
    <x v="0"/>
    <x v="1"/>
    <s v="South-David"/>
    <x v="4"/>
    <x v="3"/>
    <x v="921"/>
    <x v="920"/>
    <x v="921"/>
  </r>
  <r>
    <n v="1005"/>
    <x v="197"/>
    <x v="4"/>
    <x v="2"/>
    <x v="921"/>
    <x v="40"/>
    <x v="0"/>
    <n v="2146.2399999999998"/>
    <n v="2173.4699999999998"/>
    <x v="0"/>
    <n v="0.1"/>
    <x v="0"/>
    <x v="1"/>
    <s v="South-Alice"/>
    <x v="9"/>
    <x v="4"/>
    <x v="922"/>
    <x v="921"/>
    <x v="922"/>
  </r>
  <r>
    <n v="1082"/>
    <x v="34"/>
    <x v="2"/>
    <x v="0"/>
    <x v="922"/>
    <x v="8"/>
    <x v="0"/>
    <n v="2289.2199999999998"/>
    <n v="2581"/>
    <x v="1"/>
    <n v="0.05"/>
    <x v="1"/>
    <x v="0"/>
    <s v="North-Charlie"/>
    <x v="3"/>
    <x v="0"/>
    <x v="923"/>
    <x v="922"/>
    <x v="923"/>
  </r>
  <r>
    <n v="1092"/>
    <x v="241"/>
    <x v="0"/>
    <x v="3"/>
    <x v="923"/>
    <x v="20"/>
    <x v="0"/>
    <n v="3681.53"/>
    <n v="4076.96"/>
    <x v="0"/>
    <n v="0.17"/>
    <x v="0"/>
    <x v="1"/>
    <s v="East-Bob"/>
    <x v="0"/>
    <x v="0"/>
    <x v="924"/>
    <x v="923"/>
    <x v="924"/>
  </r>
  <r>
    <n v="1042"/>
    <x v="322"/>
    <x v="2"/>
    <x v="1"/>
    <x v="924"/>
    <x v="42"/>
    <x v="3"/>
    <n v="4208.09"/>
    <n v="4226.5600000000004"/>
    <x v="0"/>
    <n v="0.28999999999999998"/>
    <x v="0"/>
    <x v="1"/>
    <s v="West-Charlie"/>
    <x v="11"/>
    <x v="5"/>
    <x v="925"/>
    <x v="924"/>
    <x v="925"/>
  </r>
  <r>
    <n v="1061"/>
    <x v="2"/>
    <x v="2"/>
    <x v="2"/>
    <x v="925"/>
    <x v="44"/>
    <x v="1"/>
    <n v="2747.66"/>
    <n v="3027.0099999999902"/>
    <x v="1"/>
    <n v="0.23"/>
    <x v="0"/>
    <x v="0"/>
    <s v="South-Charlie"/>
    <x v="2"/>
    <x v="1"/>
    <x v="926"/>
    <x v="925"/>
    <x v="926"/>
  </r>
  <r>
    <n v="1022"/>
    <x v="90"/>
    <x v="3"/>
    <x v="1"/>
    <x v="926"/>
    <x v="6"/>
    <x v="0"/>
    <n v="479.58"/>
    <n v="909.88"/>
    <x v="0"/>
    <n v="0.13"/>
    <x v="2"/>
    <x v="1"/>
    <s v="West-Eve"/>
    <x v="8"/>
    <x v="0"/>
    <x v="927"/>
    <x v="926"/>
    <x v="927"/>
  </r>
  <r>
    <n v="1021"/>
    <x v="68"/>
    <x v="2"/>
    <x v="0"/>
    <x v="927"/>
    <x v="12"/>
    <x v="3"/>
    <n v="1222.4000000000001"/>
    <n v="1464.71"/>
    <x v="1"/>
    <n v="0"/>
    <x v="2"/>
    <x v="1"/>
    <s v="North-Charlie"/>
    <x v="6"/>
    <x v="3"/>
    <x v="928"/>
    <x v="927"/>
    <x v="928"/>
  </r>
  <r>
    <n v="1070"/>
    <x v="336"/>
    <x v="2"/>
    <x v="2"/>
    <x v="928"/>
    <x v="19"/>
    <x v="1"/>
    <n v="866.42"/>
    <n v="878.43"/>
    <x v="1"/>
    <n v="0.09"/>
    <x v="0"/>
    <x v="1"/>
    <s v="South-Charlie"/>
    <x v="9"/>
    <x v="1"/>
    <x v="929"/>
    <x v="928"/>
    <x v="929"/>
  </r>
  <r>
    <n v="1001"/>
    <x v="24"/>
    <x v="1"/>
    <x v="0"/>
    <x v="929"/>
    <x v="43"/>
    <x v="0"/>
    <n v="666.84"/>
    <n v="682.24"/>
    <x v="1"/>
    <n v="0.16"/>
    <x v="1"/>
    <x v="1"/>
    <s v="North-David"/>
    <x v="8"/>
    <x v="3"/>
    <x v="930"/>
    <x v="929"/>
    <x v="930"/>
  </r>
  <r>
    <n v="1005"/>
    <x v="76"/>
    <x v="0"/>
    <x v="1"/>
    <x v="930"/>
    <x v="28"/>
    <x v="2"/>
    <n v="1861.2"/>
    <n v="2075.35"/>
    <x v="0"/>
    <n v="0.1"/>
    <x v="2"/>
    <x v="1"/>
    <s v="West-Bob"/>
    <x v="4"/>
    <x v="2"/>
    <x v="931"/>
    <x v="930"/>
    <x v="931"/>
  </r>
  <r>
    <n v="1012"/>
    <x v="24"/>
    <x v="1"/>
    <x v="0"/>
    <x v="931"/>
    <x v="28"/>
    <x v="3"/>
    <n v="1185.5"/>
    <n v="1271.45"/>
    <x v="0"/>
    <n v="0.03"/>
    <x v="1"/>
    <x v="1"/>
    <s v="North-David"/>
    <x v="8"/>
    <x v="3"/>
    <x v="932"/>
    <x v="931"/>
    <x v="932"/>
  </r>
  <r>
    <n v="1090"/>
    <x v="1"/>
    <x v="1"/>
    <x v="1"/>
    <x v="932"/>
    <x v="22"/>
    <x v="3"/>
    <n v="1130.5999999999999"/>
    <n v="1466.1799999999901"/>
    <x v="0"/>
    <n v="0.13"/>
    <x v="0"/>
    <x v="0"/>
    <s v="West-David"/>
    <x v="1"/>
    <x v="0"/>
    <x v="933"/>
    <x v="932"/>
    <x v="933"/>
  </r>
  <r>
    <n v="1046"/>
    <x v="175"/>
    <x v="4"/>
    <x v="0"/>
    <x v="933"/>
    <x v="2"/>
    <x v="0"/>
    <n v="320.73"/>
    <n v="678.04"/>
    <x v="0"/>
    <n v="0.08"/>
    <x v="0"/>
    <x v="1"/>
    <s v="North-Alice"/>
    <x v="2"/>
    <x v="0"/>
    <x v="934"/>
    <x v="933"/>
    <x v="934"/>
  </r>
  <r>
    <n v="1034"/>
    <x v="212"/>
    <x v="1"/>
    <x v="1"/>
    <x v="934"/>
    <x v="40"/>
    <x v="0"/>
    <n v="137.47"/>
    <n v="234.63"/>
    <x v="1"/>
    <n v="0.27"/>
    <x v="1"/>
    <x v="1"/>
    <s v="West-David"/>
    <x v="5"/>
    <x v="2"/>
    <x v="935"/>
    <x v="934"/>
    <x v="935"/>
  </r>
  <r>
    <n v="1049"/>
    <x v="76"/>
    <x v="3"/>
    <x v="3"/>
    <x v="935"/>
    <x v="1"/>
    <x v="3"/>
    <n v="558.70000000000005"/>
    <n v="1004.08"/>
    <x v="0"/>
    <n v="0.03"/>
    <x v="2"/>
    <x v="0"/>
    <s v="East-Eve"/>
    <x v="4"/>
    <x v="2"/>
    <x v="936"/>
    <x v="935"/>
    <x v="936"/>
  </r>
  <r>
    <n v="1078"/>
    <x v="328"/>
    <x v="3"/>
    <x v="0"/>
    <x v="936"/>
    <x v="45"/>
    <x v="2"/>
    <n v="902.38"/>
    <n v="1128.9100000000001"/>
    <x v="1"/>
    <n v="0.01"/>
    <x v="1"/>
    <x v="1"/>
    <s v="North-Eve"/>
    <x v="11"/>
    <x v="1"/>
    <x v="937"/>
    <x v="936"/>
    <x v="937"/>
  </r>
  <r>
    <n v="1090"/>
    <x v="310"/>
    <x v="4"/>
    <x v="0"/>
    <x v="937"/>
    <x v="25"/>
    <x v="2"/>
    <n v="2183.37"/>
    <n v="2263.3599999999901"/>
    <x v="0"/>
    <n v="0"/>
    <x v="1"/>
    <x v="1"/>
    <s v="North-Alice"/>
    <x v="8"/>
    <x v="0"/>
    <x v="938"/>
    <x v="937"/>
    <x v="938"/>
  </r>
  <r>
    <n v="1045"/>
    <x v="320"/>
    <x v="0"/>
    <x v="3"/>
    <x v="938"/>
    <x v="7"/>
    <x v="1"/>
    <n v="2577.08"/>
    <n v="2961.56"/>
    <x v="0"/>
    <n v="0.1"/>
    <x v="0"/>
    <x v="0"/>
    <s v="East-Bob"/>
    <x v="5"/>
    <x v="5"/>
    <x v="939"/>
    <x v="938"/>
    <x v="939"/>
  </r>
  <r>
    <n v="1027"/>
    <x v="285"/>
    <x v="0"/>
    <x v="3"/>
    <x v="939"/>
    <x v="2"/>
    <x v="0"/>
    <n v="745.93"/>
    <n v="1143.02"/>
    <x v="0"/>
    <n v="0.2"/>
    <x v="2"/>
    <x v="0"/>
    <s v="East-Bob"/>
    <x v="5"/>
    <x v="3"/>
    <x v="940"/>
    <x v="939"/>
    <x v="940"/>
  </r>
  <r>
    <n v="1073"/>
    <x v="152"/>
    <x v="1"/>
    <x v="0"/>
    <x v="940"/>
    <x v="6"/>
    <x v="2"/>
    <n v="2152.6799999999998"/>
    <n v="2475.9299999999998"/>
    <x v="0"/>
    <n v="0.22"/>
    <x v="1"/>
    <x v="0"/>
    <s v="North-David"/>
    <x v="10"/>
    <x v="5"/>
    <x v="941"/>
    <x v="940"/>
    <x v="941"/>
  </r>
  <r>
    <n v="1026"/>
    <x v="158"/>
    <x v="1"/>
    <x v="3"/>
    <x v="941"/>
    <x v="27"/>
    <x v="1"/>
    <n v="1741.66"/>
    <n v="2169.86"/>
    <x v="0"/>
    <n v="0.14000000000000001"/>
    <x v="2"/>
    <x v="0"/>
    <s v="East-David"/>
    <x v="7"/>
    <x v="3"/>
    <x v="942"/>
    <x v="941"/>
    <x v="942"/>
  </r>
  <r>
    <n v="1047"/>
    <x v="217"/>
    <x v="1"/>
    <x v="2"/>
    <x v="942"/>
    <x v="13"/>
    <x v="2"/>
    <n v="957.95"/>
    <n v="1329.26"/>
    <x v="1"/>
    <n v="0.21"/>
    <x v="0"/>
    <x v="0"/>
    <s v="South-David"/>
    <x v="11"/>
    <x v="0"/>
    <x v="943"/>
    <x v="942"/>
    <x v="943"/>
  </r>
  <r>
    <n v="1086"/>
    <x v="242"/>
    <x v="0"/>
    <x v="1"/>
    <x v="943"/>
    <x v="7"/>
    <x v="0"/>
    <n v="83.86"/>
    <n v="526.14"/>
    <x v="0"/>
    <n v="0.11"/>
    <x v="2"/>
    <x v="0"/>
    <s v="West-Bob"/>
    <x v="9"/>
    <x v="1"/>
    <x v="944"/>
    <x v="943"/>
    <x v="944"/>
  </r>
  <r>
    <n v="1056"/>
    <x v="107"/>
    <x v="2"/>
    <x v="1"/>
    <x v="944"/>
    <x v="44"/>
    <x v="1"/>
    <n v="2361.7399999999998"/>
    <n v="2584.35"/>
    <x v="0"/>
    <n v="0.2"/>
    <x v="0"/>
    <x v="0"/>
    <s v="West-Charlie"/>
    <x v="5"/>
    <x v="2"/>
    <x v="945"/>
    <x v="944"/>
    <x v="945"/>
  </r>
  <r>
    <n v="1094"/>
    <x v="267"/>
    <x v="3"/>
    <x v="1"/>
    <x v="945"/>
    <x v="34"/>
    <x v="1"/>
    <n v="3443.98"/>
    <n v="3820.3"/>
    <x v="0"/>
    <n v="0.01"/>
    <x v="2"/>
    <x v="1"/>
    <s v="West-Eve"/>
    <x v="5"/>
    <x v="1"/>
    <x v="946"/>
    <x v="945"/>
    <x v="946"/>
  </r>
  <r>
    <n v="1063"/>
    <x v="202"/>
    <x v="2"/>
    <x v="2"/>
    <x v="946"/>
    <x v="31"/>
    <x v="1"/>
    <n v="1170.07"/>
    <n v="1669.94999999999"/>
    <x v="0"/>
    <n v="0.12"/>
    <x v="1"/>
    <x v="1"/>
    <s v="South-Charlie"/>
    <x v="4"/>
    <x v="3"/>
    <x v="947"/>
    <x v="946"/>
    <x v="947"/>
  </r>
  <r>
    <n v="1048"/>
    <x v="267"/>
    <x v="2"/>
    <x v="3"/>
    <x v="947"/>
    <x v="20"/>
    <x v="2"/>
    <n v="702.44"/>
    <n v="1067.6600000000001"/>
    <x v="1"/>
    <n v="0.24"/>
    <x v="0"/>
    <x v="1"/>
    <s v="East-Charlie"/>
    <x v="5"/>
    <x v="1"/>
    <x v="948"/>
    <x v="947"/>
    <x v="948"/>
  </r>
  <r>
    <n v="1061"/>
    <x v="170"/>
    <x v="0"/>
    <x v="3"/>
    <x v="948"/>
    <x v="34"/>
    <x v="0"/>
    <n v="4440.8599999999997"/>
    <n v="4506.8099999999904"/>
    <x v="0"/>
    <n v="0.24"/>
    <x v="1"/>
    <x v="0"/>
    <s v="East-Bob"/>
    <x v="5"/>
    <x v="6"/>
    <x v="949"/>
    <x v="948"/>
    <x v="949"/>
  </r>
  <r>
    <n v="1081"/>
    <x v="275"/>
    <x v="2"/>
    <x v="0"/>
    <x v="949"/>
    <x v="18"/>
    <x v="1"/>
    <n v="1411.37"/>
    <n v="1675.35"/>
    <x v="1"/>
    <n v="0.21"/>
    <x v="0"/>
    <x v="1"/>
    <s v="North-Charlie"/>
    <x v="7"/>
    <x v="2"/>
    <x v="950"/>
    <x v="949"/>
    <x v="950"/>
  </r>
  <r>
    <n v="1026"/>
    <x v="30"/>
    <x v="4"/>
    <x v="3"/>
    <x v="950"/>
    <x v="44"/>
    <x v="3"/>
    <n v="1156.8800000000001"/>
    <n v="1454.68"/>
    <x v="0"/>
    <n v="0.06"/>
    <x v="2"/>
    <x v="0"/>
    <s v="East-Alice"/>
    <x v="3"/>
    <x v="1"/>
    <x v="951"/>
    <x v="950"/>
    <x v="951"/>
  </r>
  <r>
    <n v="1036"/>
    <x v="247"/>
    <x v="1"/>
    <x v="0"/>
    <x v="951"/>
    <x v="31"/>
    <x v="0"/>
    <n v="4292.63"/>
    <n v="4387.99"/>
    <x v="1"/>
    <n v="7.0000000000000007E-2"/>
    <x v="2"/>
    <x v="1"/>
    <s v="North-David"/>
    <x v="10"/>
    <x v="3"/>
    <x v="952"/>
    <x v="951"/>
    <x v="952"/>
  </r>
  <r>
    <n v="1001"/>
    <x v="216"/>
    <x v="4"/>
    <x v="2"/>
    <x v="952"/>
    <x v="48"/>
    <x v="3"/>
    <n v="4094.68"/>
    <n v="4576.5"/>
    <x v="1"/>
    <n v="0.3"/>
    <x v="0"/>
    <x v="1"/>
    <s v="South-Alice"/>
    <x v="10"/>
    <x v="2"/>
    <x v="953"/>
    <x v="952"/>
    <x v="953"/>
  </r>
  <r>
    <n v="1008"/>
    <x v="164"/>
    <x v="3"/>
    <x v="1"/>
    <x v="953"/>
    <x v="33"/>
    <x v="3"/>
    <n v="2269.3200000000002"/>
    <n v="2365.35"/>
    <x v="1"/>
    <n v="0.03"/>
    <x v="0"/>
    <x v="1"/>
    <s v="West-Eve"/>
    <x v="0"/>
    <x v="0"/>
    <x v="954"/>
    <x v="953"/>
    <x v="954"/>
  </r>
  <r>
    <n v="1099"/>
    <x v="337"/>
    <x v="1"/>
    <x v="1"/>
    <x v="954"/>
    <x v="1"/>
    <x v="1"/>
    <n v="2471.73"/>
    <n v="2568.73"/>
    <x v="1"/>
    <n v="0.05"/>
    <x v="0"/>
    <x v="1"/>
    <s v="West-David"/>
    <x v="3"/>
    <x v="2"/>
    <x v="955"/>
    <x v="954"/>
    <x v="955"/>
  </r>
  <r>
    <n v="1052"/>
    <x v="64"/>
    <x v="2"/>
    <x v="1"/>
    <x v="955"/>
    <x v="0"/>
    <x v="1"/>
    <n v="1127.8599999999999"/>
    <n v="1586.29"/>
    <x v="1"/>
    <n v="0.04"/>
    <x v="2"/>
    <x v="0"/>
    <s v="West-Charlie"/>
    <x v="9"/>
    <x v="0"/>
    <x v="956"/>
    <x v="955"/>
    <x v="956"/>
  </r>
  <r>
    <n v="1079"/>
    <x v="46"/>
    <x v="3"/>
    <x v="3"/>
    <x v="956"/>
    <x v="37"/>
    <x v="2"/>
    <n v="437.59"/>
    <n v="675.54"/>
    <x v="0"/>
    <n v="0.1"/>
    <x v="0"/>
    <x v="0"/>
    <s v="East-Eve"/>
    <x v="6"/>
    <x v="1"/>
    <x v="957"/>
    <x v="956"/>
    <x v="957"/>
  </r>
  <r>
    <n v="1047"/>
    <x v="338"/>
    <x v="1"/>
    <x v="0"/>
    <x v="957"/>
    <x v="36"/>
    <x v="2"/>
    <n v="2888.49"/>
    <n v="2929.45"/>
    <x v="1"/>
    <n v="0.06"/>
    <x v="0"/>
    <x v="1"/>
    <s v="North-David"/>
    <x v="3"/>
    <x v="6"/>
    <x v="958"/>
    <x v="957"/>
    <x v="958"/>
  </r>
  <r>
    <n v="1056"/>
    <x v="223"/>
    <x v="2"/>
    <x v="0"/>
    <x v="958"/>
    <x v="15"/>
    <x v="2"/>
    <n v="536.80999999999995"/>
    <n v="839.92"/>
    <x v="0"/>
    <n v="0.15"/>
    <x v="1"/>
    <x v="0"/>
    <s v="North-Charlie"/>
    <x v="1"/>
    <x v="2"/>
    <x v="959"/>
    <x v="958"/>
    <x v="959"/>
  </r>
  <r>
    <n v="1086"/>
    <x v="117"/>
    <x v="4"/>
    <x v="2"/>
    <x v="959"/>
    <x v="15"/>
    <x v="0"/>
    <n v="2273.91"/>
    <n v="2578.7999999999902"/>
    <x v="1"/>
    <n v="0.14000000000000001"/>
    <x v="0"/>
    <x v="0"/>
    <s v="South-Alice"/>
    <x v="8"/>
    <x v="5"/>
    <x v="960"/>
    <x v="959"/>
    <x v="960"/>
  </r>
  <r>
    <n v="1014"/>
    <x v="276"/>
    <x v="1"/>
    <x v="3"/>
    <x v="960"/>
    <x v="48"/>
    <x v="2"/>
    <n v="4705.46"/>
    <n v="4747.07"/>
    <x v="1"/>
    <n v="0.27"/>
    <x v="1"/>
    <x v="1"/>
    <s v="East-David"/>
    <x v="11"/>
    <x v="5"/>
    <x v="961"/>
    <x v="960"/>
    <x v="961"/>
  </r>
  <r>
    <n v="1090"/>
    <x v="108"/>
    <x v="2"/>
    <x v="2"/>
    <x v="961"/>
    <x v="10"/>
    <x v="3"/>
    <n v="4766.53"/>
    <n v="5253.07"/>
    <x v="0"/>
    <n v="0.01"/>
    <x v="1"/>
    <x v="0"/>
    <s v="South-Charlie"/>
    <x v="7"/>
    <x v="5"/>
    <x v="962"/>
    <x v="961"/>
    <x v="962"/>
  </r>
  <r>
    <n v="1028"/>
    <x v="252"/>
    <x v="4"/>
    <x v="0"/>
    <x v="962"/>
    <x v="34"/>
    <x v="2"/>
    <n v="1234.69"/>
    <n v="1511.26"/>
    <x v="1"/>
    <n v="0.1"/>
    <x v="1"/>
    <x v="0"/>
    <s v="North-Alice"/>
    <x v="8"/>
    <x v="0"/>
    <x v="963"/>
    <x v="962"/>
    <x v="963"/>
  </r>
  <r>
    <n v="1087"/>
    <x v="47"/>
    <x v="3"/>
    <x v="0"/>
    <x v="963"/>
    <x v="30"/>
    <x v="1"/>
    <n v="3139.36"/>
    <n v="3423.66"/>
    <x v="1"/>
    <n v="0.18"/>
    <x v="2"/>
    <x v="0"/>
    <s v="North-Eve"/>
    <x v="7"/>
    <x v="0"/>
    <x v="964"/>
    <x v="963"/>
    <x v="964"/>
  </r>
  <r>
    <n v="1078"/>
    <x v="218"/>
    <x v="3"/>
    <x v="1"/>
    <x v="964"/>
    <x v="19"/>
    <x v="2"/>
    <n v="2396.6799999999998"/>
    <n v="2661.54"/>
    <x v="1"/>
    <n v="0.18"/>
    <x v="1"/>
    <x v="0"/>
    <s v="West-Eve"/>
    <x v="4"/>
    <x v="1"/>
    <x v="965"/>
    <x v="964"/>
    <x v="965"/>
  </r>
  <r>
    <n v="1088"/>
    <x v="187"/>
    <x v="3"/>
    <x v="3"/>
    <x v="965"/>
    <x v="21"/>
    <x v="0"/>
    <n v="4384.6400000000003"/>
    <n v="4693.8999999999996"/>
    <x v="1"/>
    <n v="0.14000000000000001"/>
    <x v="0"/>
    <x v="1"/>
    <s v="East-Eve"/>
    <x v="11"/>
    <x v="5"/>
    <x v="966"/>
    <x v="965"/>
    <x v="966"/>
  </r>
  <r>
    <n v="1002"/>
    <x v="16"/>
    <x v="3"/>
    <x v="0"/>
    <x v="966"/>
    <x v="16"/>
    <x v="0"/>
    <n v="1393.58"/>
    <n v="1533.09"/>
    <x v="0"/>
    <n v="0.24"/>
    <x v="2"/>
    <x v="1"/>
    <s v="North-Eve"/>
    <x v="10"/>
    <x v="3"/>
    <x v="967"/>
    <x v="966"/>
    <x v="967"/>
  </r>
  <r>
    <n v="1026"/>
    <x v="299"/>
    <x v="0"/>
    <x v="1"/>
    <x v="967"/>
    <x v="24"/>
    <x v="3"/>
    <n v="68.33"/>
    <n v="219.07999999999899"/>
    <x v="1"/>
    <n v="0.02"/>
    <x v="2"/>
    <x v="0"/>
    <s v="West-Bob"/>
    <x v="0"/>
    <x v="4"/>
    <x v="968"/>
    <x v="967"/>
    <x v="968"/>
  </r>
  <r>
    <n v="1014"/>
    <x v="317"/>
    <x v="1"/>
    <x v="3"/>
    <x v="968"/>
    <x v="41"/>
    <x v="0"/>
    <n v="854.68"/>
    <n v="1115.24"/>
    <x v="1"/>
    <n v="0.24"/>
    <x v="2"/>
    <x v="1"/>
    <s v="East-David"/>
    <x v="9"/>
    <x v="4"/>
    <x v="969"/>
    <x v="968"/>
    <x v="969"/>
  </r>
  <r>
    <n v="1059"/>
    <x v="258"/>
    <x v="1"/>
    <x v="2"/>
    <x v="969"/>
    <x v="1"/>
    <x v="2"/>
    <n v="1780.14"/>
    <n v="2185.42"/>
    <x v="0"/>
    <n v="0.15"/>
    <x v="2"/>
    <x v="1"/>
    <s v="South-David"/>
    <x v="8"/>
    <x v="6"/>
    <x v="970"/>
    <x v="969"/>
    <x v="970"/>
  </r>
  <r>
    <n v="1056"/>
    <x v="92"/>
    <x v="0"/>
    <x v="3"/>
    <x v="970"/>
    <x v="41"/>
    <x v="1"/>
    <n v="1612.82"/>
    <n v="1647.25"/>
    <x v="0"/>
    <n v="0.04"/>
    <x v="2"/>
    <x v="1"/>
    <s v="East-Bob"/>
    <x v="9"/>
    <x v="6"/>
    <x v="971"/>
    <x v="970"/>
    <x v="971"/>
  </r>
  <r>
    <n v="1007"/>
    <x v="229"/>
    <x v="2"/>
    <x v="3"/>
    <x v="971"/>
    <x v="8"/>
    <x v="0"/>
    <n v="3967.25"/>
    <n v="4272.92"/>
    <x v="1"/>
    <n v="0.27"/>
    <x v="2"/>
    <x v="0"/>
    <s v="East-Charlie"/>
    <x v="0"/>
    <x v="3"/>
    <x v="972"/>
    <x v="971"/>
    <x v="972"/>
  </r>
  <r>
    <n v="1003"/>
    <x v="198"/>
    <x v="2"/>
    <x v="0"/>
    <x v="972"/>
    <x v="42"/>
    <x v="3"/>
    <n v="3418.78"/>
    <n v="3824.1"/>
    <x v="1"/>
    <n v="0.19"/>
    <x v="2"/>
    <x v="0"/>
    <s v="North-Charlie"/>
    <x v="10"/>
    <x v="1"/>
    <x v="973"/>
    <x v="972"/>
    <x v="973"/>
  </r>
  <r>
    <n v="1023"/>
    <x v="166"/>
    <x v="3"/>
    <x v="0"/>
    <x v="973"/>
    <x v="41"/>
    <x v="2"/>
    <n v="1532.8"/>
    <n v="1619.69"/>
    <x v="0"/>
    <n v="0.05"/>
    <x v="1"/>
    <x v="1"/>
    <s v="North-Eve"/>
    <x v="11"/>
    <x v="0"/>
    <x v="974"/>
    <x v="973"/>
    <x v="974"/>
  </r>
  <r>
    <n v="1018"/>
    <x v="30"/>
    <x v="4"/>
    <x v="3"/>
    <x v="974"/>
    <x v="21"/>
    <x v="3"/>
    <n v="2315.83"/>
    <n v="2333.19"/>
    <x v="1"/>
    <n v="0.01"/>
    <x v="0"/>
    <x v="1"/>
    <s v="East-Alice"/>
    <x v="3"/>
    <x v="1"/>
    <x v="975"/>
    <x v="974"/>
    <x v="975"/>
  </r>
  <r>
    <n v="1038"/>
    <x v="86"/>
    <x v="2"/>
    <x v="0"/>
    <x v="975"/>
    <x v="48"/>
    <x v="0"/>
    <n v="523.02"/>
    <n v="686.25"/>
    <x v="0"/>
    <n v="0.04"/>
    <x v="0"/>
    <x v="0"/>
    <s v="North-Charlie"/>
    <x v="0"/>
    <x v="2"/>
    <x v="976"/>
    <x v="975"/>
    <x v="976"/>
  </r>
  <r>
    <n v="1099"/>
    <x v="329"/>
    <x v="4"/>
    <x v="0"/>
    <x v="976"/>
    <x v="2"/>
    <x v="0"/>
    <n v="4495.82"/>
    <n v="4794.0099999999902"/>
    <x v="1"/>
    <n v="0.18"/>
    <x v="1"/>
    <x v="1"/>
    <s v="North-Alice"/>
    <x v="1"/>
    <x v="4"/>
    <x v="977"/>
    <x v="976"/>
    <x v="977"/>
  </r>
  <r>
    <n v="1015"/>
    <x v="339"/>
    <x v="1"/>
    <x v="0"/>
    <x v="977"/>
    <x v="14"/>
    <x v="3"/>
    <n v="4680.3500000000004"/>
    <n v="4758.1099999999997"/>
    <x v="0"/>
    <n v="0.05"/>
    <x v="1"/>
    <x v="0"/>
    <s v="North-David"/>
    <x v="11"/>
    <x v="6"/>
    <x v="978"/>
    <x v="977"/>
    <x v="978"/>
  </r>
  <r>
    <n v="1064"/>
    <x v="111"/>
    <x v="4"/>
    <x v="1"/>
    <x v="978"/>
    <x v="22"/>
    <x v="2"/>
    <n v="4900.03"/>
    <n v="5118.83"/>
    <x v="0"/>
    <n v="7.0000000000000007E-2"/>
    <x v="2"/>
    <x v="1"/>
    <s v="West-Alice"/>
    <x v="9"/>
    <x v="3"/>
    <x v="979"/>
    <x v="978"/>
    <x v="979"/>
  </r>
  <r>
    <n v="1089"/>
    <x v="136"/>
    <x v="1"/>
    <x v="1"/>
    <x v="979"/>
    <x v="29"/>
    <x v="0"/>
    <n v="4349.34"/>
    <n v="4629.9799999999996"/>
    <x v="0"/>
    <n v="0.01"/>
    <x v="2"/>
    <x v="0"/>
    <s v="West-David"/>
    <x v="8"/>
    <x v="3"/>
    <x v="980"/>
    <x v="979"/>
    <x v="980"/>
  </r>
  <r>
    <n v="1028"/>
    <x v="82"/>
    <x v="0"/>
    <x v="3"/>
    <x v="153"/>
    <x v="38"/>
    <x v="1"/>
    <n v="911.11"/>
    <n v="1214.56"/>
    <x v="1"/>
    <n v="0.22"/>
    <x v="1"/>
    <x v="0"/>
    <s v="East-Bob"/>
    <x v="8"/>
    <x v="6"/>
    <x v="981"/>
    <x v="980"/>
    <x v="981"/>
  </r>
  <r>
    <n v="1074"/>
    <x v="22"/>
    <x v="0"/>
    <x v="0"/>
    <x v="980"/>
    <x v="12"/>
    <x v="0"/>
    <n v="278.67"/>
    <n v="423.13"/>
    <x v="1"/>
    <n v="0.24"/>
    <x v="2"/>
    <x v="0"/>
    <s v="North-Bob"/>
    <x v="9"/>
    <x v="2"/>
    <x v="982"/>
    <x v="981"/>
    <x v="982"/>
  </r>
  <r>
    <n v="1039"/>
    <x v="97"/>
    <x v="3"/>
    <x v="1"/>
    <x v="981"/>
    <x v="43"/>
    <x v="2"/>
    <n v="2919"/>
    <n v="3125.01"/>
    <x v="1"/>
    <n v="0.24"/>
    <x v="0"/>
    <x v="0"/>
    <s v="West-Eve"/>
    <x v="3"/>
    <x v="3"/>
    <x v="983"/>
    <x v="982"/>
    <x v="983"/>
  </r>
  <r>
    <n v="1057"/>
    <x v="130"/>
    <x v="2"/>
    <x v="3"/>
    <x v="982"/>
    <x v="8"/>
    <x v="0"/>
    <n v="4567.3900000000003"/>
    <n v="4958.78"/>
    <x v="1"/>
    <n v="0.04"/>
    <x v="0"/>
    <x v="1"/>
    <s v="East-Charlie"/>
    <x v="6"/>
    <x v="1"/>
    <x v="984"/>
    <x v="983"/>
    <x v="984"/>
  </r>
  <r>
    <n v="1017"/>
    <x v="332"/>
    <x v="3"/>
    <x v="0"/>
    <x v="983"/>
    <x v="30"/>
    <x v="3"/>
    <n v="927.89"/>
    <n v="1399.09"/>
    <x v="0"/>
    <n v="0.27"/>
    <x v="2"/>
    <x v="0"/>
    <s v="North-Eve"/>
    <x v="5"/>
    <x v="3"/>
    <x v="985"/>
    <x v="984"/>
    <x v="985"/>
  </r>
  <r>
    <n v="1086"/>
    <x v="62"/>
    <x v="1"/>
    <x v="2"/>
    <x v="984"/>
    <x v="5"/>
    <x v="0"/>
    <n v="84.86"/>
    <n v="517.17999999999995"/>
    <x v="0"/>
    <n v="0.2"/>
    <x v="2"/>
    <x v="1"/>
    <s v="South-David"/>
    <x v="7"/>
    <x v="0"/>
    <x v="986"/>
    <x v="985"/>
    <x v="986"/>
  </r>
  <r>
    <n v="1090"/>
    <x v="21"/>
    <x v="3"/>
    <x v="0"/>
    <x v="985"/>
    <x v="28"/>
    <x v="0"/>
    <n v="4037.21"/>
    <n v="4323.71"/>
    <x v="0"/>
    <n v="0.27"/>
    <x v="2"/>
    <x v="0"/>
    <s v="North-Eve"/>
    <x v="5"/>
    <x v="6"/>
    <x v="987"/>
    <x v="986"/>
    <x v="987"/>
  </r>
  <r>
    <n v="1044"/>
    <x v="36"/>
    <x v="4"/>
    <x v="0"/>
    <x v="986"/>
    <x v="0"/>
    <x v="2"/>
    <n v="430.14"/>
    <n v="641.17999999999995"/>
    <x v="1"/>
    <n v="0.13"/>
    <x v="0"/>
    <x v="0"/>
    <s v="North-Alice"/>
    <x v="3"/>
    <x v="3"/>
    <x v="988"/>
    <x v="987"/>
    <x v="988"/>
  </r>
  <r>
    <n v="1025"/>
    <x v="174"/>
    <x v="1"/>
    <x v="1"/>
    <x v="987"/>
    <x v="40"/>
    <x v="3"/>
    <n v="2097.84"/>
    <n v="2270.9899999999998"/>
    <x v="1"/>
    <n v="0.13"/>
    <x v="2"/>
    <x v="1"/>
    <s v="West-David"/>
    <x v="9"/>
    <x v="2"/>
    <x v="989"/>
    <x v="988"/>
    <x v="989"/>
  </r>
  <r>
    <n v="1017"/>
    <x v="54"/>
    <x v="0"/>
    <x v="3"/>
    <x v="988"/>
    <x v="6"/>
    <x v="2"/>
    <n v="3410.49"/>
    <n v="3481.72"/>
    <x v="1"/>
    <n v="0.24"/>
    <x v="1"/>
    <x v="1"/>
    <s v="East-Bob"/>
    <x v="5"/>
    <x v="0"/>
    <x v="990"/>
    <x v="989"/>
    <x v="990"/>
  </r>
  <r>
    <n v="1013"/>
    <x v="26"/>
    <x v="2"/>
    <x v="3"/>
    <x v="989"/>
    <x v="25"/>
    <x v="0"/>
    <n v="1222.1500000000001"/>
    <n v="1284.3599999999999"/>
    <x v="0"/>
    <n v="0.03"/>
    <x v="2"/>
    <x v="1"/>
    <s v="East-Charlie"/>
    <x v="6"/>
    <x v="1"/>
    <x v="991"/>
    <x v="990"/>
    <x v="991"/>
  </r>
  <r>
    <n v="1084"/>
    <x v="331"/>
    <x v="1"/>
    <x v="1"/>
    <x v="990"/>
    <x v="22"/>
    <x v="1"/>
    <n v="465.61"/>
    <n v="812.91"/>
    <x v="1"/>
    <n v="0.16"/>
    <x v="1"/>
    <x v="0"/>
    <s v="West-David"/>
    <x v="0"/>
    <x v="5"/>
    <x v="992"/>
    <x v="991"/>
    <x v="992"/>
  </r>
  <r>
    <n v="1025"/>
    <x v="177"/>
    <x v="1"/>
    <x v="0"/>
    <x v="991"/>
    <x v="20"/>
    <x v="0"/>
    <n v="3861.61"/>
    <n v="3998.91"/>
    <x v="1"/>
    <n v="0.25"/>
    <x v="2"/>
    <x v="0"/>
    <s v="North-David"/>
    <x v="6"/>
    <x v="4"/>
    <x v="993"/>
    <x v="992"/>
    <x v="993"/>
  </r>
  <r>
    <n v="1068"/>
    <x v="209"/>
    <x v="4"/>
    <x v="2"/>
    <x v="992"/>
    <x v="17"/>
    <x v="2"/>
    <n v="3169.37"/>
    <n v="3304.15"/>
    <x v="0"/>
    <n v="0.25"/>
    <x v="2"/>
    <x v="1"/>
    <s v="South-Alice"/>
    <x v="1"/>
    <x v="1"/>
    <x v="994"/>
    <x v="993"/>
    <x v="994"/>
  </r>
  <r>
    <n v="1010"/>
    <x v="297"/>
    <x v="2"/>
    <x v="0"/>
    <x v="993"/>
    <x v="41"/>
    <x v="1"/>
    <n v="4943.03"/>
    <n v="5442.15"/>
    <x v="0"/>
    <n v="0.28999999999999998"/>
    <x v="0"/>
    <x v="0"/>
    <s v="North-Charlie"/>
    <x v="1"/>
    <x v="2"/>
    <x v="995"/>
    <x v="994"/>
    <x v="995"/>
  </r>
  <r>
    <n v="1067"/>
    <x v="259"/>
    <x v="0"/>
    <x v="0"/>
    <x v="994"/>
    <x v="35"/>
    <x v="2"/>
    <n v="1754.32"/>
    <n v="1856.3999999999901"/>
    <x v="1"/>
    <n v="0.21"/>
    <x v="1"/>
    <x v="1"/>
    <s v="North-Bob"/>
    <x v="2"/>
    <x v="1"/>
    <x v="996"/>
    <x v="995"/>
    <x v="996"/>
  </r>
  <r>
    <n v="1018"/>
    <x v="167"/>
    <x v="1"/>
    <x v="2"/>
    <x v="995"/>
    <x v="1"/>
    <x v="2"/>
    <n v="355.72"/>
    <n v="438.27"/>
    <x v="0"/>
    <n v="0.06"/>
    <x v="1"/>
    <x v="0"/>
    <s v="South-David"/>
    <x v="1"/>
    <x v="1"/>
    <x v="997"/>
    <x v="996"/>
    <x v="997"/>
  </r>
  <r>
    <n v="1100"/>
    <x v="266"/>
    <x v="1"/>
    <x v="1"/>
    <x v="996"/>
    <x v="3"/>
    <x v="3"/>
    <n v="3685.03"/>
    <n v="3743.39"/>
    <x v="1"/>
    <n v="0.01"/>
    <x v="1"/>
    <x v="0"/>
    <s v="West-David"/>
    <x v="9"/>
    <x v="6"/>
    <x v="998"/>
    <x v="997"/>
    <x v="998"/>
  </r>
  <r>
    <n v="1086"/>
    <x v="132"/>
    <x v="4"/>
    <x v="3"/>
    <x v="997"/>
    <x v="10"/>
    <x v="1"/>
    <n v="2632.58"/>
    <n v="2926.68"/>
    <x v="0"/>
    <n v="0.14000000000000001"/>
    <x v="0"/>
    <x v="0"/>
    <s v="East-Alice"/>
    <x v="3"/>
    <x v="6"/>
    <x v="999"/>
    <x v="998"/>
    <x v="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s v="North"/>
    <n v="5053.97"/>
    <n v="18"/>
    <s v="Furniture"/>
    <n v="152.75"/>
    <n v="267.22000000000003"/>
    <s v="Returning"/>
    <n v="0.09"/>
    <s v="Cash"/>
    <s v="Online"/>
    <s v="North-Bob"/>
    <x v="0"/>
    <s v="Friday"/>
    <n v="2502.0450000000001"/>
    <n v="2060.4600000000005"/>
    <n v="1875.0186000000006"/>
  </r>
  <r>
    <n v="1093"/>
    <d v="2023-04-21T00:00:00"/>
    <x v="0"/>
    <s v="West"/>
    <n v="4384.0200000000004"/>
    <n v="17"/>
    <s v="Furniture"/>
    <n v="3816.39"/>
    <n v="4209.4399999999996"/>
    <s v="Returning"/>
    <n v="0.11"/>
    <s v="Cash"/>
    <s v="Retail"/>
    <s v="West-Bob"/>
    <x v="1"/>
    <s v="Friday"/>
    <n v="57741.9807"/>
    <n v="6681.8499999999949"/>
    <n v="5946.8464999999951"/>
  </r>
  <r>
    <n v="1015"/>
    <d v="2023-09-21T00:00:00"/>
    <x v="1"/>
    <s v="South"/>
    <n v="4631.2299999999996"/>
    <n v="30"/>
    <s v="Food"/>
    <n v="261.56"/>
    <n v="371.4"/>
    <s v="Returning"/>
    <n v="0.2"/>
    <s v="Bank Transfer"/>
    <s v="Retail"/>
    <s v="South-David"/>
    <x v="2"/>
    <s v="Thursday"/>
    <n v="6277.4400000000005"/>
    <n v="3295.1999999999994"/>
    <n v="2636.16"/>
  </r>
  <r>
    <n v="1072"/>
    <d v="2023-08-24T00:00:00"/>
    <x v="0"/>
    <s v="South"/>
    <n v="2167.94"/>
    <n v="39"/>
    <s v="Clothing"/>
    <n v="4330.03"/>
    <n v="4467.75"/>
    <s v="New"/>
    <n v="0.02"/>
    <s v="Credit Card"/>
    <s v="Retail"/>
    <s v="South-Bob"/>
    <x v="3"/>
    <s v="Thursday"/>
    <n v="165493.74659999998"/>
    <n v="5371.0800000000099"/>
    <n v="5263.6584000000094"/>
  </r>
  <r>
    <n v="1061"/>
    <d v="2023-03-24T00:00:00"/>
    <x v="2"/>
    <s v="East"/>
    <n v="3750.2"/>
    <n v="13"/>
    <s v="Electronics"/>
    <n v="637.37"/>
    <n v="692.71"/>
    <s v="New"/>
    <n v="0.08"/>
    <s v="Credit Card"/>
    <s v="Online"/>
    <s v="East-Charlie"/>
    <x v="4"/>
    <s v="Friday"/>
    <n v="7622.9452000000001"/>
    <n v="719.42000000000041"/>
    <n v="661.86640000000045"/>
  </r>
  <r>
    <n v="1021"/>
    <d v="2023-02-11T00:00:00"/>
    <x v="2"/>
    <s v="West"/>
    <n v="3761.15"/>
    <n v="32"/>
    <s v="Food"/>
    <n v="900.79"/>
    <n v="1106.51"/>
    <s v="New"/>
    <n v="0.21"/>
    <s v="Cash"/>
    <s v="Online"/>
    <s v="West-Charlie"/>
    <x v="0"/>
    <s v="Saturday"/>
    <n v="22771.9712"/>
    <n v="6583.0400000000009"/>
    <n v="5200.6016000000009"/>
  </r>
  <r>
    <n v="1083"/>
    <d v="2023-04-11T00:00:00"/>
    <x v="0"/>
    <s v="West"/>
    <n v="618.30999999999995"/>
    <n v="29"/>
    <s v="Furniture"/>
    <n v="2408.81"/>
    <n v="2624.09"/>
    <s v="Returning"/>
    <n v="0.14000000000000001"/>
    <s v="Cash"/>
    <s v="Online"/>
    <s v="West-Bob"/>
    <x v="1"/>
    <s v="Tuesday"/>
    <n v="60075.721400000002"/>
    <n v="6243.1200000000063"/>
    <n v="5369.0832000000055"/>
  </r>
  <r>
    <n v="1087"/>
    <d v="2023-01-06T00:00:00"/>
    <x v="3"/>
    <s v="South"/>
    <n v="7698.92"/>
    <n v="46"/>
    <s v="Furniture"/>
    <n v="3702.51"/>
    <n v="3964.65"/>
    <s v="New"/>
    <n v="0.12"/>
    <s v="Bank Transfer"/>
    <s v="Online"/>
    <s v="South-Eve"/>
    <x v="5"/>
    <s v="Friday"/>
    <n v="149877.60480000003"/>
    <n v="12058.439999999995"/>
    <n v="10611.427199999996"/>
  </r>
  <r>
    <n v="1075"/>
    <d v="2023-06-29T00:00:00"/>
    <x v="1"/>
    <s v="South"/>
    <n v="4223.3900000000003"/>
    <n v="30"/>
    <s v="Furniture"/>
    <n v="738.06"/>
    <n v="1095.44999999999"/>
    <s v="New"/>
    <n v="0.05"/>
    <s v="Bank Transfer"/>
    <s v="Online"/>
    <s v="South-David"/>
    <x v="6"/>
    <s v="Thursday"/>
    <n v="21034.71"/>
    <n v="10721.699999999702"/>
    <n v="10185.614999999716"/>
  </r>
  <r>
    <n v="1075"/>
    <d v="2023-10-09T00:00:00"/>
    <x v="2"/>
    <s v="West"/>
    <n v="8239.58"/>
    <n v="18"/>
    <s v="Clothing"/>
    <n v="2228.35"/>
    <n v="2682.34"/>
    <s v="New"/>
    <n v="0.13"/>
    <s v="Bank Transfer"/>
    <s v="Online"/>
    <s v="West-Charlie"/>
    <x v="7"/>
    <s v="Monday"/>
    <n v="34895.960999999996"/>
    <n v="8171.8200000000043"/>
    <n v="7109.4834000000037"/>
  </r>
  <r>
    <n v="1088"/>
    <d v="2023-11-16T00:00:00"/>
    <x v="3"/>
    <s v="North"/>
    <n v="8518.4500000000007"/>
    <n v="13"/>
    <s v="Furniture"/>
    <n v="2440.11"/>
    <n v="2517.6"/>
    <s v="New"/>
    <n v="0.23"/>
    <s v="Bank Transfer"/>
    <s v="Retail"/>
    <s v="North-Eve"/>
    <x v="8"/>
    <s v="Thursday"/>
    <n v="24425.501100000001"/>
    <n v="1007.3699999999972"/>
    <n v="775.67489999999782"/>
  </r>
  <r>
    <n v="1100"/>
    <d v="2023-08-14T00:00:00"/>
    <x v="0"/>
    <s v="West"/>
    <n v="2198.7399999999998"/>
    <n v="43"/>
    <s v="Food"/>
    <n v="1100.81"/>
    <n v="1137.44"/>
    <s v="Returning"/>
    <n v="0.08"/>
    <s v="Bank Transfer"/>
    <s v="Online"/>
    <s v="West-Bob"/>
    <x v="3"/>
    <s v="Monday"/>
    <n v="43548.043599999997"/>
    <n v="1575.0900000000047"/>
    <n v="1449.0828000000045"/>
  </r>
  <r>
    <n v="1024"/>
    <d v="2023-11-11T00:00:00"/>
    <x v="3"/>
    <s v="West"/>
    <n v="6607.8"/>
    <n v="21"/>
    <s v="Food"/>
    <n v="622.01"/>
    <n v="641.09"/>
    <s v="Returning"/>
    <n v="0"/>
    <s v="Bank Transfer"/>
    <s v="Retail"/>
    <s v="West-Eve"/>
    <x v="8"/>
    <s v="Saturday"/>
    <n v="13062.21"/>
    <n v="400.68000000000086"/>
    <n v="400.68000000000086"/>
  </r>
  <r>
    <n v="1003"/>
    <d v="2023-12-31T00:00:00"/>
    <x v="4"/>
    <s v="South"/>
    <n v="4775.59"/>
    <n v="30"/>
    <s v="Furniture"/>
    <n v="4190.28"/>
    <n v="4270.6499999999996"/>
    <s v="New"/>
    <n v="0.2"/>
    <s v="Cash"/>
    <s v="Online"/>
    <s v="South-Alice"/>
    <x v="9"/>
    <s v="Sunday"/>
    <n v="100566.72"/>
    <n v="2411.0999999999967"/>
    <n v="1928.8799999999974"/>
  </r>
  <r>
    <n v="1022"/>
    <d v="2023-08-17T00:00:00"/>
    <x v="2"/>
    <s v="South"/>
    <n v="8813.5499999999993"/>
    <n v="21"/>
    <s v="Food"/>
    <n v="2537.1999999999998"/>
    <n v="2869.6"/>
    <s v="New"/>
    <n v="0.28999999999999998"/>
    <s v="Bank Transfer"/>
    <s v="Retail"/>
    <s v="South-Charlie"/>
    <x v="3"/>
    <s v="Thursday"/>
    <n v="37829.651999999995"/>
    <n v="6980.4000000000015"/>
    <n v="4956.0840000000007"/>
  </r>
  <r>
    <n v="1053"/>
    <d v="2023-10-16T00:00:00"/>
    <x v="0"/>
    <s v="North"/>
    <n v="2235.83"/>
    <n v="48"/>
    <s v="Furniture"/>
    <n v="121.19"/>
    <n v="487.65"/>
    <s v="New"/>
    <n v="0.18"/>
    <s v="Cash"/>
    <s v="Retail"/>
    <s v="North-Bob"/>
    <x v="7"/>
    <s v="Monday"/>
    <n v="4770.0384000000004"/>
    <n v="17590.079999999998"/>
    <n v="14423.865599999999"/>
  </r>
  <r>
    <n v="1002"/>
    <d v="2023-05-30T00:00:00"/>
    <x v="1"/>
    <s v="North"/>
    <n v="6810.35"/>
    <n v="17"/>
    <s v="Furniture"/>
    <n v="4024.76"/>
    <n v="4420.1499999999996"/>
    <s v="Returning"/>
    <n v="0.04"/>
    <s v="Cash"/>
    <s v="Online"/>
    <s v="North-David"/>
    <x v="10"/>
    <s v="Tuesday"/>
    <n v="65684.083199999994"/>
    <n v="6721.6299999999901"/>
    <n v="6452.7647999999899"/>
  </r>
  <r>
    <n v="1088"/>
    <d v="2023-10-04T00:00:00"/>
    <x v="0"/>
    <s v="East"/>
    <n v="6116.75"/>
    <n v="40"/>
    <s v="Electronics"/>
    <n v="4904.93"/>
    <n v="5034.3500000000004"/>
    <s v="New"/>
    <n v="0.1"/>
    <s v="Credit Card"/>
    <s v="Retail"/>
    <s v="East-Bob"/>
    <x v="7"/>
    <s v="Wednesday"/>
    <n v="176577.48"/>
    <n v="5176.8000000000029"/>
    <n v="4659.1200000000026"/>
  </r>
  <r>
    <n v="1030"/>
    <d v="2023-07-17T00:00:00"/>
    <x v="1"/>
    <s v="West"/>
    <n v="3023.48"/>
    <n v="19"/>
    <s v="Clothing"/>
    <n v="3049.33"/>
    <n v="3209.22"/>
    <s v="Returning"/>
    <n v="0.26"/>
    <s v="Cash"/>
    <s v="Online"/>
    <s v="West-David"/>
    <x v="11"/>
    <s v="Monday"/>
    <n v="42873.5798"/>
    <n v="3037.9099999999976"/>
    <n v="2248.053399999998"/>
  </r>
  <r>
    <n v="1038"/>
    <d v="2023-03-11T00:00:00"/>
    <x v="0"/>
    <s v="South"/>
    <n v="1452.35"/>
    <n v="15"/>
    <s v="Clothing"/>
    <n v="2543.36"/>
    <n v="2790.1"/>
    <s v="Returning"/>
    <n v="7.0000000000000007E-2"/>
    <s v="Cash"/>
    <s v="Online"/>
    <s v="South-Bob"/>
    <x v="4"/>
    <s v="Saturday"/>
    <n v="35479.871999999996"/>
    <n v="3701.0999999999967"/>
    <n v="3442.0229999999965"/>
  </r>
  <r>
    <n v="1002"/>
    <d v="2023-04-22T00:00:00"/>
    <x v="3"/>
    <s v="North"/>
    <n v="6551.23"/>
    <n v="9"/>
    <s v="Electronics"/>
    <n v="4398.16"/>
    <n v="4439.12"/>
    <s v="New"/>
    <n v="0.18"/>
    <s v="Bank Transfer"/>
    <s v="Online"/>
    <s v="North-Eve"/>
    <x v="1"/>
    <s v="Saturday"/>
    <n v="32458.420800000004"/>
    <n v="368.64000000000033"/>
    <n v="302.2848000000003"/>
  </r>
  <r>
    <n v="1064"/>
    <d v="2023-01-04T00:00:00"/>
    <x v="3"/>
    <s v="East"/>
    <n v="7412.11"/>
    <n v="10"/>
    <s v="Electronics"/>
    <n v="4764.96"/>
    <n v="5074.42"/>
    <s v="New"/>
    <n v="0.12"/>
    <s v="Cash"/>
    <s v="Online"/>
    <s v="East-Eve"/>
    <x v="5"/>
    <s v="Wednesday"/>
    <n v="41931.648000000001"/>
    <n v="3094.6000000000004"/>
    <n v="2723.2480000000005"/>
  </r>
  <r>
    <n v="1060"/>
    <d v="2023-12-16T00:00:00"/>
    <x v="3"/>
    <s v="East"/>
    <n v="3224.71"/>
    <n v="44"/>
    <s v="Clothing"/>
    <n v="3784.96"/>
    <n v="4276.99"/>
    <s v="New"/>
    <n v="0.06"/>
    <s v="Bank Transfer"/>
    <s v="Retail"/>
    <s v="East-Eve"/>
    <x v="9"/>
    <s v="Saturday"/>
    <n v="156545.94559999998"/>
    <n v="21649.319999999989"/>
    <n v="20350.360799999988"/>
  </r>
  <r>
    <n v="1021"/>
    <d v="2023-11-27T00:00:00"/>
    <x v="4"/>
    <s v="South"/>
    <n v="6483.84"/>
    <n v="31"/>
    <s v="Furniture"/>
    <n v="2254.9899999999998"/>
    <n v="2441.79"/>
    <s v="Returning"/>
    <n v="0.24"/>
    <s v="Bank Transfer"/>
    <s v="Online"/>
    <s v="South-Alice"/>
    <x v="8"/>
    <s v="Monday"/>
    <n v="53127.564399999988"/>
    <n v="5790.8000000000056"/>
    <n v="4401.0080000000044"/>
  </r>
  <r>
    <n v="1033"/>
    <d v="2023-11-14T00:00:00"/>
    <x v="1"/>
    <s v="South"/>
    <n v="4011.8"/>
    <n v="23"/>
    <s v="Furniture"/>
    <n v="2981.5"/>
    <n v="3360.4"/>
    <s v="Returning"/>
    <n v="0.22"/>
    <s v="Bank Transfer"/>
    <s v="Retail"/>
    <s v="South-David"/>
    <x v="8"/>
    <s v="Tuesday"/>
    <n v="53488.11"/>
    <n v="8714.7000000000025"/>
    <n v="6797.4660000000022"/>
  </r>
  <r>
    <n v="1076"/>
    <d v="2023-12-16T00:00:00"/>
    <x v="3"/>
    <s v="East"/>
    <n v="7160.75"/>
    <n v="30"/>
    <s v="Clothing"/>
    <n v="3519.63"/>
    <n v="3774.65"/>
    <s v="New"/>
    <n v="0.2"/>
    <s v="Credit Card"/>
    <s v="Retail"/>
    <s v="East-Eve"/>
    <x v="9"/>
    <s v="Saturday"/>
    <n v="84471.12000000001"/>
    <n v="7650.5999999999995"/>
    <n v="6120.48"/>
  </r>
  <r>
    <n v="1058"/>
    <d v="2023-04-05T00:00:00"/>
    <x v="4"/>
    <s v="North"/>
    <n v="2072.23"/>
    <n v="33"/>
    <s v="Furniture"/>
    <n v="1011.65"/>
    <n v="1084.28"/>
    <s v="Returning"/>
    <n v="7.0000000000000007E-2"/>
    <s v="Bank Transfer"/>
    <s v="Retail"/>
    <s v="North-Alice"/>
    <x v="1"/>
    <s v="Wednesday"/>
    <n v="31047.538499999995"/>
    <n v="2396.79"/>
    <n v="2229.0146999999997"/>
  </r>
  <r>
    <n v="1022"/>
    <d v="2023-06-01T00:00:00"/>
    <x v="1"/>
    <s v="East"/>
    <n v="8913.1299999999992"/>
    <n v="9"/>
    <s v="Electronics"/>
    <n v="2263.65"/>
    <n v="2558.9499999999998"/>
    <s v="New"/>
    <n v="0.03"/>
    <s v="Cash"/>
    <s v="Online"/>
    <s v="East-David"/>
    <x v="6"/>
    <s v="Thursday"/>
    <n v="19761.664500000003"/>
    <n v="2657.6999999999975"/>
    <n v="2577.9689999999973"/>
  </r>
  <r>
    <n v="1089"/>
    <d v="2023-11-07T00:00:00"/>
    <x v="0"/>
    <s v="West"/>
    <n v="2945.36"/>
    <n v="47"/>
    <s v="Furniture"/>
    <n v="4157.62"/>
    <n v="4314.5599999999904"/>
    <s v="New"/>
    <n v="0.17"/>
    <s v="Bank Transfer"/>
    <s v="Retail"/>
    <s v="West-Bob"/>
    <x v="8"/>
    <s v="Tuesday"/>
    <n v="162188.75619999997"/>
    <n v="7376.1799999995537"/>
    <n v="6122.2293999996291"/>
  </r>
  <r>
    <n v="1049"/>
    <d v="2023-05-17T00:00:00"/>
    <x v="4"/>
    <s v="West"/>
    <n v="3741.08"/>
    <n v="1"/>
    <s v="Furniture"/>
    <n v="3290.89"/>
    <n v="3317.75"/>
    <s v="Returning"/>
    <n v="0.17"/>
    <s v="Bank Transfer"/>
    <s v="Online"/>
    <s v="West-Alice"/>
    <x v="10"/>
    <s v="Wednesday"/>
    <n v="2731.4386999999997"/>
    <n v="26.860000000000127"/>
    <n v="22.293800000000104"/>
  </r>
  <r>
    <n v="1091"/>
    <d v="2023-09-04T00:00:00"/>
    <x v="2"/>
    <s v="South"/>
    <n v="675.11"/>
    <n v="44"/>
    <s v="Food"/>
    <n v="2085.46"/>
    <n v="2406.58"/>
    <s v="Returning"/>
    <n v="0.06"/>
    <s v="Bank Transfer"/>
    <s v="Retail"/>
    <s v="South-Charlie"/>
    <x v="2"/>
    <s v="Monday"/>
    <n v="86254.625599999999"/>
    <n v="14129.279999999995"/>
    <n v="13281.523199999994"/>
  </r>
  <r>
    <n v="1059"/>
    <d v="2023-08-31T00:00:00"/>
    <x v="4"/>
    <s v="North"/>
    <n v="1203.97"/>
    <n v="35"/>
    <s v="Food"/>
    <n v="3333.64"/>
    <n v="3764.52"/>
    <s v="Returning"/>
    <n v="0.02"/>
    <s v="Credit Card"/>
    <s v="Online"/>
    <s v="North-Alice"/>
    <x v="3"/>
    <s v="Thursday"/>
    <n v="114343.852"/>
    <n v="15080.800000000003"/>
    <n v="14779.184000000003"/>
  </r>
  <r>
    <n v="1042"/>
    <d v="2023-01-31T00:00:00"/>
    <x v="4"/>
    <s v="North"/>
    <n v="5207.03"/>
    <n v="11"/>
    <s v="Food"/>
    <n v="635.20000000000005"/>
    <n v="814.14"/>
    <s v="Returning"/>
    <n v="0.02"/>
    <s v="Cash"/>
    <s v="Online"/>
    <s v="North-Alice"/>
    <x v="5"/>
    <s v="Tuesday"/>
    <n v="6847.456000000001"/>
    <n v="1968.3399999999992"/>
    <n v="1928.9731999999992"/>
  </r>
  <r>
    <n v="1092"/>
    <d v="2023-02-09T00:00:00"/>
    <x v="1"/>
    <s v="West"/>
    <n v="2749.17"/>
    <n v="34"/>
    <s v="Furniture"/>
    <n v="2037.41"/>
    <n v="2238.65"/>
    <s v="New"/>
    <n v="0.3"/>
    <s v="Credit Card"/>
    <s v="Online"/>
    <s v="West-David"/>
    <x v="0"/>
    <s v="Thursday"/>
    <n v="48490.358"/>
    <n v="6842.16"/>
    <n v="4789.5119999999997"/>
  </r>
  <r>
    <n v="1060"/>
    <d v="2023-08-17T00:00:00"/>
    <x v="0"/>
    <s v="East"/>
    <n v="8371.25"/>
    <n v="16"/>
    <s v="Clothing"/>
    <n v="3975.99"/>
    <n v="4422.59"/>
    <s v="New"/>
    <n v="0.24"/>
    <s v="Cash"/>
    <s v="Online"/>
    <s v="East-Bob"/>
    <x v="3"/>
    <s v="Thursday"/>
    <n v="48348.038399999998"/>
    <n v="7145.6000000000058"/>
    <n v="5430.6560000000045"/>
  </r>
  <r>
    <n v="1080"/>
    <d v="2023-02-05T00:00:00"/>
    <x v="2"/>
    <s v="South"/>
    <n v="245.46"/>
    <n v="9"/>
    <s v="Electronics"/>
    <n v="1141.52"/>
    <n v="1550.19"/>
    <s v="New"/>
    <n v="0.28000000000000003"/>
    <s v="Credit Card"/>
    <s v="Retail"/>
    <s v="South-Charlie"/>
    <x v="0"/>
    <s v="Sunday"/>
    <n v="7397.0496000000003"/>
    <n v="3678.0300000000007"/>
    <n v="2648.1816000000003"/>
  </r>
  <r>
    <n v="1015"/>
    <d v="2023-08-11T00:00:00"/>
    <x v="3"/>
    <s v="East"/>
    <n v="3853.03"/>
    <n v="32"/>
    <s v="Furniture"/>
    <n v="970.51"/>
    <n v="1330.84"/>
    <s v="Returning"/>
    <n v="0.06"/>
    <s v="Cash"/>
    <s v="Retail"/>
    <s v="East-Eve"/>
    <x v="3"/>
    <s v="Friday"/>
    <n v="29192.940799999997"/>
    <n v="11530.559999999998"/>
    <n v="10838.726399999998"/>
  </r>
  <r>
    <n v="1062"/>
    <d v="2023-01-06T00:00:00"/>
    <x v="3"/>
    <s v="East"/>
    <n v="3439.72"/>
    <n v="15"/>
    <s v="Clothing"/>
    <n v="4756.55"/>
    <n v="4888.46"/>
    <s v="New"/>
    <n v="0.28999999999999998"/>
    <s v="Credit Card"/>
    <s v="Online"/>
    <s v="East-Eve"/>
    <x v="5"/>
    <s v="Friday"/>
    <n v="50657.2575"/>
    <n v="1978.6499999999978"/>
    <n v="1404.8414999999984"/>
  </r>
  <r>
    <n v="1062"/>
    <d v="2023-11-18T00:00:00"/>
    <x v="4"/>
    <s v="East"/>
    <n v="291.33999999999997"/>
    <n v="12"/>
    <s v="Furniture"/>
    <n v="1088.99"/>
    <n v="1545"/>
    <s v="Returning"/>
    <n v="0.04"/>
    <s v="Bank Transfer"/>
    <s v="Retail"/>
    <s v="East-Alice"/>
    <x v="8"/>
    <s v="Saturday"/>
    <n v="12545.1648"/>
    <n v="5472.12"/>
    <n v="5253.2352000000001"/>
  </r>
  <r>
    <n v="1047"/>
    <d v="2023-08-08T00:00:00"/>
    <x v="1"/>
    <s v="North"/>
    <n v="1331.25"/>
    <n v="33"/>
    <s v="Electronics"/>
    <n v="1341.55"/>
    <n v="1427.21"/>
    <s v="Returning"/>
    <n v="0.15"/>
    <s v="Credit Card"/>
    <s v="Online"/>
    <s v="North-David"/>
    <x v="3"/>
    <s v="Tuesday"/>
    <n v="37630.477500000001"/>
    <n v="2826.7800000000025"/>
    <n v="2402.7630000000022"/>
  </r>
  <r>
    <n v="1062"/>
    <d v="2023-03-16T00:00:00"/>
    <x v="1"/>
    <s v="West"/>
    <n v="4195.0600000000004"/>
    <n v="45"/>
    <s v="Furniture"/>
    <n v="4849.6000000000004"/>
    <n v="5166.72"/>
    <s v="Returning"/>
    <n v="0.25"/>
    <s v="Credit Card"/>
    <s v="Online"/>
    <s v="West-David"/>
    <x v="4"/>
    <s v="Thursday"/>
    <n v="163674.00000000003"/>
    <n v="14270.399999999994"/>
    <n v="10702.799999999996"/>
  </r>
  <r>
    <n v="1051"/>
    <d v="2023-01-04T00:00:00"/>
    <x v="3"/>
    <s v="North"/>
    <n v="4979.3599999999997"/>
    <n v="14"/>
    <s v="Electronics"/>
    <n v="3686.81"/>
    <n v="3710.92"/>
    <s v="New"/>
    <n v="0.1"/>
    <s v="Bank Transfer"/>
    <s v="Retail"/>
    <s v="North-Eve"/>
    <x v="5"/>
    <s v="Wednesday"/>
    <n v="46453.805999999997"/>
    <n v="337.54000000000178"/>
    <n v="303.78600000000159"/>
  </r>
  <r>
    <n v="1055"/>
    <d v="2023-12-01T00:00:00"/>
    <x v="2"/>
    <s v="West"/>
    <n v="4102.47"/>
    <n v="8"/>
    <s v="Furniture"/>
    <n v="3513"/>
    <n v="3838.42"/>
    <s v="Returning"/>
    <n v="0.13"/>
    <s v="Bank Transfer"/>
    <s v="Online"/>
    <s v="West-Charlie"/>
    <x v="9"/>
    <s v="Friday"/>
    <n v="24450.48"/>
    <n v="2603.3600000000006"/>
    <n v="2264.9232000000006"/>
  </r>
  <r>
    <n v="1064"/>
    <d v="2023-05-14T00:00:00"/>
    <x v="0"/>
    <s v="South"/>
    <n v="5356.28"/>
    <n v="8"/>
    <s v="Electronics"/>
    <n v="4271.99"/>
    <n v="4417.79"/>
    <s v="Returning"/>
    <n v="0.04"/>
    <s v="Cash"/>
    <s v="Online"/>
    <s v="South-Bob"/>
    <x v="10"/>
    <s v="Sunday"/>
    <n v="32808.883199999997"/>
    <n v="1166.4000000000015"/>
    <n v="1119.7440000000013"/>
  </r>
  <r>
    <n v="1003"/>
    <d v="2023-04-28T00:00:00"/>
    <x v="2"/>
    <s v="South"/>
    <n v="5991.8"/>
    <n v="27"/>
    <s v="Furniture"/>
    <n v="623.32000000000005"/>
    <n v="853.66"/>
    <s v="Returning"/>
    <n v="0.04"/>
    <s v="Cash"/>
    <s v="Online"/>
    <s v="South-Charlie"/>
    <x v="1"/>
    <s v="Friday"/>
    <n v="16156.454400000002"/>
    <n v="6219.1799999999976"/>
    <n v="5970.4127999999973"/>
  </r>
  <r>
    <n v="1051"/>
    <d v="2023-04-04T00:00:00"/>
    <x v="0"/>
    <s v="East"/>
    <n v="198.25"/>
    <n v="12"/>
    <s v="Electronics"/>
    <n v="3544.48"/>
    <n v="3723.66"/>
    <s v="Returning"/>
    <n v="0.19"/>
    <s v="Cash"/>
    <s v="Online"/>
    <s v="East-Bob"/>
    <x v="1"/>
    <s v="Tuesday"/>
    <n v="34452.345600000001"/>
    <n v="2150.159999999998"/>
    <n v="1741.6295999999986"/>
  </r>
  <r>
    <n v="1007"/>
    <d v="2023-03-03T00:00:00"/>
    <x v="3"/>
    <s v="West"/>
    <n v="4694.54"/>
    <n v="1"/>
    <s v="Food"/>
    <n v="2543.2600000000002"/>
    <n v="2637.91"/>
    <s v="Returning"/>
    <n v="0.2"/>
    <s v="Credit Card"/>
    <s v="Online"/>
    <s v="West-Eve"/>
    <x v="4"/>
    <s v="Friday"/>
    <n v="2034.6080000000002"/>
    <n v="94.649999999999636"/>
    <n v="75.719999999999715"/>
  </r>
  <r>
    <n v="1021"/>
    <d v="2023-07-13T00:00:00"/>
    <x v="0"/>
    <s v="West"/>
    <n v="9638.64"/>
    <n v="43"/>
    <s v="Furniture"/>
    <n v="4154.3"/>
    <n v="4469.07"/>
    <s v="Returning"/>
    <n v="0.23"/>
    <s v="Cash"/>
    <s v="Retail"/>
    <s v="West-Bob"/>
    <x v="11"/>
    <s v="Thursday"/>
    <n v="137548.87299999999"/>
    <n v="13535.109999999979"/>
    <n v="10422.034699999984"/>
  </r>
  <r>
    <n v="1073"/>
    <d v="2023-12-01T00:00:00"/>
    <x v="1"/>
    <s v="West"/>
    <n v="5238.42"/>
    <n v="40"/>
    <s v="Furniture"/>
    <n v="2565.3000000000002"/>
    <n v="3007.47"/>
    <s v="Returning"/>
    <n v="0.17"/>
    <s v="Credit Card"/>
    <s v="Retail"/>
    <s v="West-David"/>
    <x v="9"/>
    <s v="Friday"/>
    <n v="85167.959999999992"/>
    <n v="17686.799999999985"/>
    <n v="14680.043999999987"/>
  </r>
  <r>
    <n v="1039"/>
    <d v="2023-07-22T00:00:00"/>
    <x v="4"/>
    <s v="East"/>
    <n v="6807.67"/>
    <n v="42"/>
    <s v="Clothing"/>
    <n v="3120.19"/>
    <n v="3600.14"/>
    <s v="Returning"/>
    <n v="0.19"/>
    <s v="Credit Card"/>
    <s v="Retail"/>
    <s v="East-Alice"/>
    <x v="11"/>
    <s v="Saturday"/>
    <n v="106148.86380000001"/>
    <n v="20157.899999999994"/>
    <n v="16327.898999999996"/>
  </r>
  <r>
    <n v="1018"/>
    <d v="2023-01-26T00:00:00"/>
    <x v="4"/>
    <s v="East"/>
    <n v="3187.45"/>
    <n v="11"/>
    <s v="Clothing"/>
    <n v="2414.8200000000002"/>
    <n v="2519.0700000000002"/>
    <s v="Returning"/>
    <n v="0"/>
    <s v="Cash"/>
    <s v="Online"/>
    <s v="East-Alice"/>
    <x v="5"/>
    <s v="Thursday"/>
    <n v="26563.02"/>
    <n v="1146.75"/>
    <n v="1146.75"/>
  </r>
  <r>
    <n v="1004"/>
    <d v="2023-06-22T00:00:00"/>
    <x v="3"/>
    <s v="South"/>
    <n v="7762.51"/>
    <n v="39"/>
    <s v="Electronics"/>
    <n v="2416.89"/>
    <n v="2778.3999999999901"/>
    <s v="Returning"/>
    <n v="0.05"/>
    <s v="Cash"/>
    <s v="Online"/>
    <s v="South-Eve"/>
    <x v="6"/>
    <s v="Thursday"/>
    <n v="89545.774499999985"/>
    <n v="14098.889999999617"/>
    <n v="13393.945499999636"/>
  </r>
  <r>
    <n v="1089"/>
    <d v="2023-10-27T00:00:00"/>
    <x v="1"/>
    <s v="North"/>
    <n v="7751.92"/>
    <n v="43"/>
    <s v="Furniture"/>
    <n v="3851.45"/>
    <n v="4186.9799999999996"/>
    <s v="Returning"/>
    <n v="0.3"/>
    <s v="Credit Card"/>
    <s v="Online"/>
    <s v="North-David"/>
    <x v="7"/>
    <s v="Friday"/>
    <n v="115928.64499999999"/>
    <n v="14427.78999999999"/>
    <n v="10099.452999999992"/>
  </r>
  <r>
    <n v="1060"/>
    <d v="2023-05-13T00:00:00"/>
    <x v="2"/>
    <s v="West"/>
    <n v="5260.83"/>
    <n v="31"/>
    <s v="Electronics"/>
    <n v="3161.4"/>
    <n v="3339.66"/>
    <s v="Returning"/>
    <n v="0.02"/>
    <s v="Bank Transfer"/>
    <s v="Online"/>
    <s v="West-Charlie"/>
    <x v="10"/>
    <s v="Saturday"/>
    <n v="96043.332000000009"/>
    <n v="5526.0599999999922"/>
    <n v="5415.5387999999921"/>
  </r>
  <r>
    <n v="1014"/>
    <d v="2023-11-22T00:00:00"/>
    <x v="1"/>
    <s v="West"/>
    <n v="9762.5400000000009"/>
    <n v="17"/>
    <s v="Food"/>
    <n v="3184.65"/>
    <n v="3204.01"/>
    <s v="New"/>
    <n v="0.2"/>
    <s v="Bank Transfer"/>
    <s v="Online"/>
    <s v="West-David"/>
    <x v="8"/>
    <s v="Wednesday"/>
    <n v="43311.240000000005"/>
    <n v="329.12000000000216"/>
    <n v="263.29600000000175"/>
  </r>
  <r>
    <n v="1009"/>
    <d v="2023-04-28T00:00:00"/>
    <x v="4"/>
    <s v="North"/>
    <n v="1342.95"/>
    <n v="33"/>
    <s v="Clothing"/>
    <n v="2278.9"/>
    <n v="2626.9"/>
    <s v="New"/>
    <n v="0.05"/>
    <s v="Credit Card"/>
    <s v="Online"/>
    <s v="North-Alice"/>
    <x v="1"/>
    <s v="Friday"/>
    <n v="71443.514999999999"/>
    <n v="11484"/>
    <n v="10909.8"/>
  </r>
  <r>
    <n v="1090"/>
    <d v="2023-11-20T00:00:00"/>
    <x v="4"/>
    <s v="West"/>
    <n v="267.77999999999997"/>
    <n v="32"/>
    <s v="Electronics"/>
    <n v="2678.99"/>
    <n v="3152.2799999999902"/>
    <s v="Returning"/>
    <n v="0.22"/>
    <s v="Cash"/>
    <s v="Retail"/>
    <s v="West-Alice"/>
    <x v="8"/>
    <s v="Monday"/>
    <n v="66867.590400000001"/>
    <n v="15145.279999999693"/>
    <n v="11813.318399999762"/>
  </r>
  <r>
    <n v="1053"/>
    <d v="2023-10-02T00:00:00"/>
    <x v="1"/>
    <s v="East"/>
    <n v="7724.57"/>
    <n v="29"/>
    <s v="Electronics"/>
    <n v="3741.3"/>
    <n v="4061.04"/>
    <s v="Returning"/>
    <n v="0.21"/>
    <s v="Credit Card"/>
    <s v="Online"/>
    <s v="East-David"/>
    <x v="7"/>
    <s v="Monday"/>
    <n v="85713.183000000019"/>
    <n v="9272.4599999999937"/>
    <n v="7325.2433999999957"/>
  </r>
  <r>
    <n v="1002"/>
    <d v="2023-07-31T00:00:00"/>
    <x v="1"/>
    <s v="East"/>
    <n v="8090.84"/>
    <n v="21"/>
    <s v="Clothing"/>
    <n v="4138.41"/>
    <n v="4361.7"/>
    <s v="Returning"/>
    <n v="7.0000000000000007E-2"/>
    <s v="Credit Card"/>
    <s v="Retail"/>
    <s v="East-David"/>
    <x v="11"/>
    <s v="Monday"/>
    <n v="80823.147299999997"/>
    <n v="4689.0899999999992"/>
    <n v="4360.8536999999988"/>
  </r>
  <r>
    <n v="1084"/>
    <d v="2023-08-13T00:00:00"/>
    <x v="4"/>
    <s v="West"/>
    <n v="1290.05"/>
    <n v="21"/>
    <s v="Furniture"/>
    <n v="3497.98"/>
    <n v="3765.31"/>
    <s v="New"/>
    <n v="0.08"/>
    <s v="Cash"/>
    <s v="Online"/>
    <s v="West-Alice"/>
    <x v="3"/>
    <s v="Sunday"/>
    <n v="67580.973599999998"/>
    <n v="5613.9299999999985"/>
    <n v="5164.815599999999"/>
  </r>
  <r>
    <n v="1092"/>
    <d v="2023-01-20T00:00:00"/>
    <x v="2"/>
    <s v="East"/>
    <n v="2729.27"/>
    <n v="40"/>
    <s v="Electronics"/>
    <n v="4624.16"/>
    <n v="4731.9799999999996"/>
    <s v="New"/>
    <n v="0.2"/>
    <s v="Bank Transfer"/>
    <s v="Retail"/>
    <s v="East-Charlie"/>
    <x v="5"/>
    <s v="Friday"/>
    <n v="147973.12"/>
    <n v="4312.7999999999884"/>
    <n v="3450.2399999999907"/>
  </r>
  <r>
    <n v="1060"/>
    <d v="2023-04-23T00:00:00"/>
    <x v="3"/>
    <s v="East"/>
    <n v="273.77"/>
    <n v="23"/>
    <s v="Clothing"/>
    <n v="4110.6000000000004"/>
    <n v="4488.37"/>
    <s v="New"/>
    <n v="0.12"/>
    <s v="Credit Card"/>
    <s v="Online"/>
    <s v="East-Eve"/>
    <x v="1"/>
    <s v="Sunday"/>
    <n v="83198.544000000009"/>
    <n v="8688.7099999999882"/>
    <n v="7646.0647999999901"/>
  </r>
  <r>
    <n v="1071"/>
    <d v="2023-05-20T00:00:00"/>
    <x v="3"/>
    <s v="West"/>
    <n v="3003.76"/>
    <n v="6"/>
    <s v="Furniture"/>
    <n v="2831.23"/>
    <n v="3206.98"/>
    <s v="Returning"/>
    <n v="0.06"/>
    <s v="Bank Transfer"/>
    <s v="Retail"/>
    <s v="West-Eve"/>
    <x v="10"/>
    <s v="Saturday"/>
    <n v="15968.137199999999"/>
    <n v="2254.5"/>
    <n v="2119.23"/>
  </r>
  <r>
    <n v="1044"/>
    <d v="2023-02-16T00:00:00"/>
    <x v="1"/>
    <s v="South"/>
    <n v="7754.1"/>
    <n v="22"/>
    <s v="Food"/>
    <n v="3373.46"/>
    <n v="3454.76"/>
    <s v="Returning"/>
    <n v="0.22"/>
    <s v="Bank Transfer"/>
    <s v="Retail"/>
    <s v="South-David"/>
    <x v="0"/>
    <s v="Thursday"/>
    <n v="57888.573599999996"/>
    <n v="1788.600000000004"/>
    <n v="1395.1080000000031"/>
  </r>
  <r>
    <n v="1008"/>
    <d v="2023-01-01T00:00:00"/>
    <x v="3"/>
    <s v="North"/>
    <n v="5227.8100000000004"/>
    <n v="38"/>
    <s v="Clothing"/>
    <n v="4635.2299999999996"/>
    <n v="5075.4399999999996"/>
    <s v="Returning"/>
    <n v="0.05"/>
    <s v="Cash"/>
    <s v="Online"/>
    <s v="North-Eve"/>
    <x v="5"/>
    <s v="Sunday"/>
    <n v="167331.80299999999"/>
    <n v="16727.980000000003"/>
    <n v="15891.581000000002"/>
  </r>
  <r>
    <n v="1047"/>
    <d v="2023-03-31T00:00:00"/>
    <x v="4"/>
    <s v="East"/>
    <n v="3546.15"/>
    <n v="37"/>
    <s v="Electronics"/>
    <n v="3114.88"/>
    <n v="3256.78"/>
    <s v="Returning"/>
    <n v="0.26"/>
    <s v="Credit Card"/>
    <s v="Online"/>
    <s v="East-Alice"/>
    <x v="4"/>
    <s v="Friday"/>
    <n v="85285.414399999994"/>
    <n v="5250.3000000000029"/>
    <n v="3885.222000000002"/>
  </r>
  <r>
    <n v="1035"/>
    <d v="2023-05-22T00:00:00"/>
    <x v="4"/>
    <s v="South"/>
    <n v="3780.22"/>
    <n v="45"/>
    <s v="Food"/>
    <n v="4132.79"/>
    <n v="4624.1000000000004"/>
    <s v="New"/>
    <n v="0.15"/>
    <s v="Credit Card"/>
    <s v="Retail"/>
    <s v="South-Alice"/>
    <x v="10"/>
    <s v="Monday"/>
    <n v="158079.2175"/>
    <n v="22108.950000000019"/>
    <n v="18792.607500000016"/>
  </r>
  <r>
    <n v="1078"/>
    <d v="2023-11-16T00:00:00"/>
    <x v="1"/>
    <s v="East"/>
    <n v="113.4"/>
    <n v="8"/>
    <s v="Furniture"/>
    <n v="3459.61"/>
    <n v="3657.23"/>
    <s v="Returning"/>
    <n v="0.03"/>
    <s v="Bank Transfer"/>
    <s v="Online"/>
    <s v="East-David"/>
    <x v="8"/>
    <s v="Thursday"/>
    <n v="26846.5736"/>
    <n v="1580.9599999999991"/>
    <n v="1533.5311999999992"/>
  </r>
  <r>
    <n v="1081"/>
    <d v="2023-02-07T00:00:00"/>
    <x v="1"/>
    <s v="East"/>
    <n v="3068.03"/>
    <n v="41"/>
    <s v="Furniture"/>
    <n v="2782.08"/>
    <n v="2879.24"/>
    <s v="New"/>
    <n v="0.21"/>
    <s v="Bank Transfer"/>
    <s v="Online"/>
    <s v="East-David"/>
    <x v="0"/>
    <s v="Tuesday"/>
    <n v="90111.571200000006"/>
    <n v="3983.559999999994"/>
    <n v="3147.0123999999955"/>
  </r>
  <r>
    <n v="1036"/>
    <d v="2023-10-20T00:00:00"/>
    <x v="1"/>
    <s v="North"/>
    <n v="6499.94"/>
    <n v="49"/>
    <s v="Clothing"/>
    <n v="1247.0999999999999"/>
    <n v="1429.4399999999901"/>
    <s v="New"/>
    <n v="0.16"/>
    <s v="Cash"/>
    <s v="Online"/>
    <s v="North-David"/>
    <x v="7"/>
    <s v="Friday"/>
    <n v="51330.635999999991"/>
    <n v="8934.659999999516"/>
    <n v="7505.1143999995929"/>
  </r>
  <r>
    <n v="1050"/>
    <d v="2023-05-19T00:00:00"/>
    <x v="2"/>
    <s v="East"/>
    <n v="9744.52"/>
    <n v="35"/>
    <s v="Clothing"/>
    <n v="2158.69"/>
    <n v="2384.38"/>
    <s v="Returning"/>
    <n v="0.09"/>
    <s v="Bank Transfer"/>
    <s v="Retail"/>
    <s v="East-Charlie"/>
    <x v="10"/>
    <s v="Friday"/>
    <n v="68754.276500000007"/>
    <n v="7899.1500000000015"/>
    <n v="7188.2265000000016"/>
  </r>
  <r>
    <n v="1004"/>
    <d v="2023-12-22T00:00:00"/>
    <x v="3"/>
    <s v="North"/>
    <n v="8485.9"/>
    <n v="11"/>
    <s v="Clothing"/>
    <n v="4840.33"/>
    <n v="4884.29"/>
    <s v="New"/>
    <n v="0.13"/>
    <s v="Cash"/>
    <s v="Online"/>
    <s v="North-Eve"/>
    <x v="9"/>
    <s v="Friday"/>
    <n v="46321.958099999996"/>
    <n v="483.5600000000004"/>
    <n v="420.69720000000035"/>
  </r>
  <r>
    <n v="1002"/>
    <d v="2023-11-29T00:00:00"/>
    <x v="1"/>
    <s v="North"/>
    <n v="333.59"/>
    <n v="24"/>
    <s v="Furniture"/>
    <n v="3305.94"/>
    <n v="3599.27"/>
    <s v="New"/>
    <n v="0.09"/>
    <s v="Credit Card"/>
    <s v="Retail"/>
    <s v="North-David"/>
    <x v="8"/>
    <s v="Wednesday"/>
    <n v="72201.729600000006"/>
    <n v="7039.9199999999983"/>
    <n v="6406.3271999999988"/>
  </r>
  <r>
    <n v="1006"/>
    <d v="2023-09-16T00:00:00"/>
    <x v="0"/>
    <s v="North"/>
    <n v="8995.75"/>
    <n v="49"/>
    <s v="Food"/>
    <n v="2843.76"/>
    <n v="3146.6"/>
    <s v="New"/>
    <n v="0.08"/>
    <s v="Cash"/>
    <s v="Retail"/>
    <s v="North-Bob"/>
    <x v="2"/>
    <s v="Saturday"/>
    <n v="128196.70080000002"/>
    <n v="14839.159999999985"/>
    <n v="13652.027199999988"/>
  </r>
  <r>
    <n v="1054"/>
    <d v="2023-06-10T00:00:00"/>
    <x v="0"/>
    <s v="South"/>
    <n v="7853.66"/>
    <n v="21"/>
    <s v="Furniture"/>
    <n v="4668.1400000000003"/>
    <n v="5040.22"/>
    <s v="New"/>
    <n v="0.05"/>
    <s v="Bank Transfer"/>
    <s v="Online"/>
    <s v="South-Bob"/>
    <x v="6"/>
    <s v="Saturday"/>
    <n v="93129.392999999996"/>
    <n v="7813.6799999999985"/>
    <n v="7422.9959999999983"/>
  </r>
  <r>
    <n v="1004"/>
    <d v="2023-06-27T00:00:00"/>
    <x v="4"/>
    <s v="West"/>
    <n v="7825.72"/>
    <n v="2"/>
    <s v="Electronics"/>
    <n v="2953.23"/>
    <n v="2977.52"/>
    <s v="Returning"/>
    <n v="0.11"/>
    <s v="Credit Card"/>
    <s v="Retail"/>
    <s v="West-Alice"/>
    <x v="6"/>
    <s v="Tuesday"/>
    <n v="5256.7493999999997"/>
    <n v="48.579999999999927"/>
    <n v="43.236199999999933"/>
  </r>
  <r>
    <n v="1054"/>
    <d v="2023-01-10T00:00:00"/>
    <x v="3"/>
    <s v="South"/>
    <n v="4634.16"/>
    <n v="40"/>
    <s v="Furniture"/>
    <n v="2654.11"/>
    <n v="2929.32"/>
    <s v="Returning"/>
    <n v="0.08"/>
    <s v="Cash"/>
    <s v="Online"/>
    <s v="South-Eve"/>
    <x v="5"/>
    <s v="Tuesday"/>
    <n v="97671.248000000007"/>
    <n v="11008.400000000001"/>
    <n v="10127.728000000001"/>
  </r>
  <r>
    <n v="1093"/>
    <d v="2023-09-18T00:00:00"/>
    <x v="1"/>
    <s v="West"/>
    <n v="4040.25"/>
    <n v="19"/>
    <s v="Electronics"/>
    <n v="3808.59"/>
    <n v="3844.51"/>
    <s v="New"/>
    <n v="0.21"/>
    <s v="Credit Card"/>
    <s v="Online"/>
    <s v="West-David"/>
    <x v="2"/>
    <s v="Monday"/>
    <n v="57166.935900000004"/>
    <n v="682.48000000000138"/>
    <n v="539.15920000000108"/>
  </r>
  <r>
    <n v="1063"/>
    <d v="2023-05-18T00:00:00"/>
    <x v="0"/>
    <s v="West"/>
    <n v="3098.87"/>
    <n v="39"/>
    <s v="Food"/>
    <n v="3577.69"/>
    <n v="3931.25"/>
    <s v="Returning"/>
    <n v="0.21"/>
    <s v="Cash"/>
    <s v="Retail"/>
    <s v="West-Bob"/>
    <x v="10"/>
    <s v="Thursday"/>
    <n v="110228.62890000001"/>
    <n v="13788.839999999998"/>
    <n v="10893.183599999998"/>
  </r>
  <r>
    <n v="1018"/>
    <d v="2023-06-21T00:00:00"/>
    <x v="3"/>
    <s v="North"/>
    <n v="750.38"/>
    <n v="28"/>
    <s v="Clothing"/>
    <n v="1006.14"/>
    <n v="1043.45"/>
    <s v="New"/>
    <n v="0.15"/>
    <s v="Bank Transfer"/>
    <s v="Retail"/>
    <s v="North-Eve"/>
    <x v="6"/>
    <s v="Wednesday"/>
    <n v="23946.131999999998"/>
    <n v="1044.6800000000017"/>
    <n v="887.97800000000143"/>
  </r>
  <r>
    <n v="1090"/>
    <d v="2023-01-13T00:00:00"/>
    <x v="4"/>
    <s v="East"/>
    <n v="2359.5300000000002"/>
    <n v="17"/>
    <s v="Clothing"/>
    <n v="2382.98"/>
    <n v="2839.73"/>
    <s v="Returning"/>
    <n v="0.23"/>
    <s v="Bank Transfer"/>
    <s v="Retail"/>
    <s v="East-Alice"/>
    <x v="5"/>
    <s v="Friday"/>
    <n v="31193.208200000005"/>
    <n v="7764.75"/>
    <n v="5978.8575000000001"/>
  </r>
  <r>
    <n v="1044"/>
    <d v="2023-06-17T00:00:00"/>
    <x v="2"/>
    <s v="North"/>
    <n v="2541.38"/>
    <n v="6"/>
    <s v="Furniture"/>
    <n v="2388.9499999999998"/>
    <n v="2742.97"/>
    <s v="Returning"/>
    <n v="0.25"/>
    <s v="Credit Card"/>
    <s v="Retail"/>
    <s v="North-Charlie"/>
    <x v="6"/>
    <s v="Saturday"/>
    <n v="10750.275"/>
    <n v="2124.12"/>
    <n v="1593.09"/>
  </r>
  <r>
    <n v="1034"/>
    <d v="2023-05-10T00:00:00"/>
    <x v="3"/>
    <s v="East"/>
    <n v="4892.3599999999997"/>
    <n v="19"/>
    <s v="Clothing"/>
    <n v="1922.21"/>
    <n v="2180.83"/>
    <s v="Returning"/>
    <n v="0.17"/>
    <s v="Credit Card"/>
    <s v="Retail"/>
    <s v="East-Eve"/>
    <x v="10"/>
    <s v="Wednesday"/>
    <n v="30313.251699999997"/>
    <n v="4913.7799999999979"/>
    <n v="4078.437399999998"/>
  </r>
  <r>
    <n v="1074"/>
    <d v="2023-03-25T00:00:00"/>
    <x v="3"/>
    <s v="West"/>
    <n v="7499.7"/>
    <n v="38"/>
    <s v="Food"/>
    <n v="2610.6"/>
    <n v="2836.94"/>
    <s v="Returning"/>
    <n v="0.19"/>
    <s v="Credit Card"/>
    <s v="Online"/>
    <s v="West-Eve"/>
    <x v="4"/>
    <s v="Saturday"/>
    <n v="80354.268000000011"/>
    <n v="8600.9200000000055"/>
    <n v="6966.7452000000048"/>
  </r>
  <r>
    <n v="1062"/>
    <d v="2023-11-17T00:00:00"/>
    <x v="2"/>
    <s v="North"/>
    <n v="4790.72"/>
    <n v="28"/>
    <s v="Clothing"/>
    <n v="2094.88"/>
    <n v="2168.91"/>
    <s v="Returning"/>
    <n v="0.08"/>
    <s v="Cash"/>
    <s v="Retail"/>
    <s v="North-Charlie"/>
    <x v="8"/>
    <s v="Friday"/>
    <n v="53964.108800000002"/>
    <n v="2072.8399999999929"/>
    <n v="1907.0127999999936"/>
  </r>
  <r>
    <n v="1100"/>
    <d v="2023-11-15T00:00:00"/>
    <x v="3"/>
    <s v="East"/>
    <n v="672.66"/>
    <n v="2"/>
    <s v="Furniture"/>
    <n v="1036.76"/>
    <n v="1189.3499999999999"/>
    <s v="New"/>
    <n v="0.27"/>
    <s v="Bank Transfer"/>
    <s v="Online"/>
    <s v="East-Eve"/>
    <x v="8"/>
    <s v="Wednesday"/>
    <n v="1513.6695999999999"/>
    <n v="305.17999999999984"/>
    <n v="222.78139999999988"/>
  </r>
  <r>
    <n v="1014"/>
    <d v="2023-04-11T00:00:00"/>
    <x v="4"/>
    <s v="South"/>
    <n v="9582.1200000000008"/>
    <n v="38"/>
    <s v="Food"/>
    <n v="2091.21"/>
    <n v="2527"/>
    <s v="Returning"/>
    <n v="0.01"/>
    <s v="Credit Card"/>
    <s v="Online"/>
    <s v="South-Alice"/>
    <x v="1"/>
    <s v="Tuesday"/>
    <n v="78671.320200000002"/>
    <n v="16560.019999999997"/>
    <n v="16394.419799999996"/>
  </r>
  <r>
    <n v="1095"/>
    <d v="2023-11-25T00:00:00"/>
    <x v="4"/>
    <s v="East"/>
    <n v="9432.9699999999993"/>
    <n v="37"/>
    <s v="Electronics"/>
    <n v="407.77"/>
    <n v="860.95"/>
    <s v="New"/>
    <n v="0.1"/>
    <s v="Credit Card"/>
    <s v="Retail"/>
    <s v="East-Alice"/>
    <x v="8"/>
    <s v="Saturday"/>
    <n v="13578.741"/>
    <n v="16767.660000000003"/>
    <n v="15090.894000000004"/>
  </r>
  <r>
    <n v="1048"/>
    <d v="2023-09-30T00:00:00"/>
    <x v="2"/>
    <s v="North"/>
    <n v="7873.38"/>
    <n v="4"/>
    <s v="Furniture"/>
    <n v="2900.14"/>
    <n v="2910.5099999999902"/>
    <s v="New"/>
    <n v="0.22"/>
    <s v="Credit Card"/>
    <s v="Retail"/>
    <s v="North-Charlie"/>
    <x v="2"/>
    <s v="Saturday"/>
    <n v="9048.4367999999995"/>
    <n v="41.479999999961365"/>
    <n v="32.354399999969864"/>
  </r>
  <r>
    <n v="1015"/>
    <d v="2023-09-22T00:00:00"/>
    <x v="1"/>
    <s v="South"/>
    <n v="9914.15"/>
    <n v="22"/>
    <s v="Electronics"/>
    <n v="4275.59"/>
    <n v="4576.72"/>
    <s v="Returning"/>
    <n v="0.02"/>
    <s v="Cash"/>
    <s v="Retail"/>
    <s v="South-David"/>
    <x v="2"/>
    <s v="Friday"/>
    <n v="92181.720400000006"/>
    <n v="6624.8600000000024"/>
    <n v="6492.3628000000026"/>
  </r>
  <r>
    <n v="1072"/>
    <d v="2023-02-07T00:00:00"/>
    <x v="0"/>
    <s v="East"/>
    <n v="5490.38"/>
    <n v="26"/>
    <s v="Food"/>
    <n v="3640.17"/>
    <n v="4002.63"/>
    <s v="New"/>
    <n v="0.05"/>
    <s v="Credit Card"/>
    <s v="Retail"/>
    <s v="East-Bob"/>
    <x v="0"/>
    <s v="Tuesday"/>
    <n v="89912.198999999993"/>
    <n v="9423.9600000000009"/>
    <n v="8952.7620000000006"/>
  </r>
  <r>
    <n v="1078"/>
    <d v="2023-04-04T00:00:00"/>
    <x v="1"/>
    <s v="East"/>
    <n v="9631.41"/>
    <n v="49"/>
    <s v="Furniture"/>
    <n v="1833.95"/>
    <n v="2147.14"/>
    <s v="Returning"/>
    <n v="0.18"/>
    <s v="Credit Card"/>
    <s v="Retail"/>
    <s v="East-David"/>
    <x v="1"/>
    <s v="Tuesday"/>
    <n v="73688.111000000004"/>
    <n v="15346.309999999992"/>
    <n v="12583.974199999995"/>
  </r>
  <r>
    <n v="1087"/>
    <d v="2023-04-05T00:00:00"/>
    <x v="3"/>
    <s v="East"/>
    <n v="848.49"/>
    <n v="43"/>
    <s v="Furniture"/>
    <n v="481"/>
    <n v="531.02"/>
    <s v="New"/>
    <n v="0.17"/>
    <s v="Cash"/>
    <s v="Online"/>
    <s v="East-Eve"/>
    <x v="1"/>
    <s v="Wednesday"/>
    <n v="17166.89"/>
    <n v="2150.8599999999992"/>
    <n v="1785.2137999999993"/>
  </r>
  <r>
    <n v="1062"/>
    <d v="2023-11-01T00:00:00"/>
    <x v="0"/>
    <s v="East"/>
    <n v="3720.24"/>
    <n v="36"/>
    <s v="Food"/>
    <n v="1050.6400000000001"/>
    <n v="1167.33"/>
    <s v="New"/>
    <n v="0.22"/>
    <s v="Cash"/>
    <s v="Online"/>
    <s v="East-Bob"/>
    <x v="8"/>
    <s v="Wednesday"/>
    <n v="29501.9712"/>
    <n v="4200.8399999999938"/>
    <n v="3276.6551999999951"/>
  </r>
  <r>
    <n v="1040"/>
    <d v="2023-03-10T00:00:00"/>
    <x v="2"/>
    <s v="East"/>
    <n v="2331.27"/>
    <n v="13"/>
    <s v="Clothing"/>
    <n v="2750.18"/>
    <n v="2882.85"/>
    <s v="Returning"/>
    <n v="0.24"/>
    <s v="Credit Card"/>
    <s v="Online"/>
    <s v="East-Charlie"/>
    <x v="4"/>
    <s v="Friday"/>
    <n v="27171.778399999999"/>
    <n v="1724.7100000000009"/>
    <n v="1310.7796000000008"/>
  </r>
  <r>
    <n v="1085"/>
    <d v="2023-11-14T00:00:00"/>
    <x v="2"/>
    <s v="South"/>
    <n v="2038.75"/>
    <n v="32"/>
    <s v="Furniture"/>
    <n v="1074.93"/>
    <n v="1492.48"/>
    <s v="Returning"/>
    <n v="0.04"/>
    <s v="Credit Card"/>
    <s v="Retail"/>
    <s v="South-Charlie"/>
    <x v="8"/>
    <s v="Tuesday"/>
    <n v="33021.849600000001"/>
    <n v="13361.599999999999"/>
    <n v="12827.135999999999"/>
  </r>
  <r>
    <n v="1080"/>
    <d v="2023-08-24T00:00:00"/>
    <x v="0"/>
    <s v="West"/>
    <n v="1493.95"/>
    <n v="17"/>
    <s v="Furniture"/>
    <n v="2742.67"/>
    <n v="2979.64"/>
    <s v="Returning"/>
    <n v="0.01"/>
    <s v="Cash"/>
    <s v="Retail"/>
    <s v="West-Bob"/>
    <x v="3"/>
    <s v="Thursday"/>
    <n v="46159.136099999996"/>
    <n v="4028.4899999999966"/>
    <n v="3988.2050999999965"/>
  </r>
  <r>
    <n v="1082"/>
    <d v="2023-11-30T00:00:00"/>
    <x v="4"/>
    <s v="South"/>
    <n v="6261.9"/>
    <n v="41"/>
    <s v="Electronics"/>
    <n v="1196.42"/>
    <n v="1444.97"/>
    <s v="Returning"/>
    <n v="0.21"/>
    <s v="Bank Transfer"/>
    <s v="Online"/>
    <s v="South-Alice"/>
    <x v="8"/>
    <s v="Thursday"/>
    <n v="38752.043799999999"/>
    <n v="10190.549999999997"/>
    <n v="8050.5344999999979"/>
  </r>
  <r>
    <n v="1053"/>
    <d v="2023-05-17T00:00:00"/>
    <x v="0"/>
    <s v="South"/>
    <n v="7835.09"/>
    <n v="36"/>
    <s v="Clothing"/>
    <n v="4252.17"/>
    <n v="4720.2700000000004"/>
    <s v="New"/>
    <n v="0.09"/>
    <s v="Cash"/>
    <s v="Retail"/>
    <s v="South-Bob"/>
    <x v="10"/>
    <s v="Wednesday"/>
    <n v="139301.08919999999"/>
    <n v="16851.600000000013"/>
    <n v="15334.956000000013"/>
  </r>
  <r>
    <n v="1024"/>
    <d v="2023-03-17T00:00:00"/>
    <x v="3"/>
    <s v="South"/>
    <n v="5825.15"/>
    <n v="46"/>
    <s v="Electronics"/>
    <n v="2016.49"/>
    <n v="2338.66"/>
    <s v="Returning"/>
    <n v="0.19"/>
    <s v="Bank Transfer"/>
    <s v="Retail"/>
    <s v="South-Eve"/>
    <x v="4"/>
    <s v="Friday"/>
    <n v="75134.417400000006"/>
    <n v="14819.819999999992"/>
    <n v="12004.054199999995"/>
  </r>
  <r>
    <n v="1026"/>
    <d v="2023-02-04T00:00:00"/>
    <x v="4"/>
    <s v="West"/>
    <n v="1554.93"/>
    <n v="19"/>
    <s v="Electronics"/>
    <n v="1265.48"/>
    <n v="1715.83"/>
    <s v="New"/>
    <n v="0.05"/>
    <s v="Credit Card"/>
    <s v="Retail"/>
    <s v="West-Alice"/>
    <x v="0"/>
    <s v="Saturday"/>
    <n v="22841.913999999997"/>
    <n v="8556.6499999999978"/>
    <n v="8128.8174999999974"/>
  </r>
  <r>
    <n v="1089"/>
    <d v="2023-01-01T00:00:00"/>
    <x v="2"/>
    <s v="North"/>
    <n v="8130.13"/>
    <n v="35"/>
    <s v="Clothing"/>
    <n v="4071.01"/>
    <n v="4304.7"/>
    <s v="New"/>
    <n v="0.14000000000000001"/>
    <s v="Credit Card"/>
    <s v="Online"/>
    <s v="North-Charlie"/>
    <x v="5"/>
    <s v="Sunday"/>
    <n v="122537.401"/>
    <n v="8179.149999999986"/>
    <n v="7034.0689999999877"/>
  </r>
  <r>
    <n v="1060"/>
    <d v="2023-10-23T00:00:00"/>
    <x v="0"/>
    <s v="West"/>
    <n v="6395.95"/>
    <n v="46"/>
    <s v="Clothing"/>
    <n v="1747.05"/>
    <n v="1830.27"/>
    <s v="New"/>
    <n v="0.15"/>
    <s v="Bank Transfer"/>
    <s v="Retail"/>
    <s v="West-Bob"/>
    <x v="7"/>
    <s v="Monday"/>
    <n v="68309.654999999999"/>
    <n v="3828.1200000000013"/>
    <n v="3253.902000000001"/>
  </r>
  <r>
    <n v="1041"/>
    <d v="2023-11-16T00:00:00"/>
    <x v="1"/>
    <s v="South"/>
    <n v="3942.84"/>
    <n v="40"/>
    <s v="Food"/>
    <n v="601.86"/>
    <n v="1067.53"/>
    <s v="New"/>
    <n v="0.18"/>
    <s v="Cash"/>
    <s v="Online"/>
    <s v="South-David"/>
    <x v="8"/>
    <s v="Thursday"/>
    <n v="19741.008000000002"/>
    <n v="18626.8"/>
    <n v="15273.976000000001"/>
  </r>
  <r>
    <n v="1029"/>
    <d v="2023-03-01T00:00:00"/>
    <x v="1"/>
    <s v="East"/>
    <n v="6773.89"/>
    <n v="28"/>
    <s v="Clothing"/>
    <n v="2873.53"/>
    <n v="3108.3"/>
    <s v="New"/>
    <n v="0.15"/>
    <s v="Credit Card"/>
    <s v="Retail"/>
    <s v="East-David"/>
    <x v="4"/>
    <s v="Wednesday"/>
    <n v="68390.01400000001"/>
    <n v="6573.5599999999995"/>
    <n v="5587.5259999999998"/>
  </r>
  <r>
    <n v="1015"/>
    <d v="2023-11-16T00:00:00"/>
    <x v="3"/>
    <s v="East"/>
    <n v="2673.06"/>
    <n v="1"/>
    <s v="Furniture"/>
    <n v="2928.74"/>
    <n v="3027.74"/>
    <s v="New"/>
    <n v="0.15"/>
    <s v="Bank Transfer"/>
    <s v="Retail"/>
    <s v="East-Eve"/>
    <x v="8"/>
    <s v="Thursday"/>
    <n v="2489.4289999999996"/>
    <n v="99"/>
    <n v="84.149999999999991"/>
  </r>
  <r>
    <n v="1045"/>
    <d v="2023-12-15T00:00:00"/>
    <x v="1"/>
    <s v="South"/>
    <n v="3517.4"/>
    <n v="42"/>
    <s v="Clothing"/>
    <n v="3587.74"/>
    <n v="3745.91"/>
    <s v="Returning"/>
    <n v="0.1"/>
    <s v="Cash"/>
    <s v="Online"/>
    <s v="South-David"/>
    <x v="9"/>
    <s v="Friday"/>
    <n v="135616.57199999999"/>
    <n v="6643.1400000000031"/>
    <n v="5978.8260000000028"/>
  </r>
  <r>
    <n v="1065"/>
    <d v="2023-11-24T00:00:00"/>
    <x v="0"/>
    <s v="East"/>
    <n v="9183.11"/>
    <n v="18"/>
    <s v="Food"/>
    <n v="1239.0899999999999"/>
    <n v="1273.98"/>
    <s v="New"/>
    <n v="0.02"/>
    <s v="Bank Transfer"/>
    <s v="Retail"/>
    <s v="East-Bob"/>
    <x v="8"/>
    <s v="Friday"/>
    <n v="21857.547599999998"/>
    <n v="628.0200000000018"/>
    <n v="615.45960000000173"/>
  </r>
  <r>
    <n v="1089"/>
    <d v="2023-09-24T00:00:00"/>
    <x v="0"/>
    <s v="South"/>
    <n v="2975.99"/>
    <n v="48"/>
    <s v="Food"/>
    <n v="2246.67"/>
    <n v="2486.14"/>
    <s v="New"/>
    <n v="0.03"/>
    <s v="Cash"/>
    <s v="Retail"/>
    <s v="South-Bob"/>
    <x v="2"/>
    <s v="Sunday"/>
    <n v="104604.9552"/>
    <n v="11494.55999999999"/>
    <n v="11149.723199999991"/>
  </r>
  <r>
    <n v="1071"/>
    <d v="2023-12-27T00:00:00"/>
    <x v="1"/>
    <s v="East"/>
    <n v="4752.88"/>
    <n v="40"/>
    <s v="Food"/>
    <n v="1447.72"/>
    <n v="1875.75"/>
    <s v="New"/>
    <n v="0.13"/>
    <s v="Cash"/>
    <s v="Retail"/>
    <s v="East-David"/>
    <x v="9"/>
    <s v="Wednesday"/>
    <n v="50380.656000000003"/>
    <n v="17121.199999999997"/>
    <n v="14895.443999999998"/>
  </r>
  <r>
    <n v="1009"/>
    <d v="2023-08-17T00:00:00"/>
    <x v="0"/>
    <s v="West"/>
    <n v="8912.4"/>
    <n v="33"/>
    <s v="Clothing"/>
    <n v="450.72"/>
    <n v="918.17"/>
    <s v="Returning"/>
    <n v="0.11"/>
    <s v="Cash"/>
    <s v="Online"/>
    <s v="West-Bob"/>
    <x v="3"/>
    <s v="Thursday"/>
    <n v="13237.6464"/>
    <n v="15425.849999999999"/>
    <n v="13729.0065"/>
  </r>
  <r>
    <n v="1088"/>
    <d v="2023-09-27T00:00:00"/>
    <x v="3"/>
    <s v="North"/>
    <n v="7106.44"/>
    <n v="12"/>
    <s v="Clothing"/>
    <n v="4389.24"/>
    <n v="4856.2199999999903"/>
    <s v="Returning"/>
    <n v="0.15"/>
    <s v="Cash"/>
    <s v="Retail"/>
    <s v="North-Eve"/>
    <x v="2"/>
    <s v="Wednesday"/>
    <n v="44770.248"/>
    <n v="5603.7599999998856"/>
    <n v="4763.1959999999026"/>
  </r>
  <r>
    <n v="1001"/>
    <d v="2023-11-12T00:00:00"/>
    <x v="4"/>
    <s v="North"/>
    <n v="715.81"/>
    <n v="8"/>
    <s v="Electronics"/>
    <n v="3657.91"/>
    <n v="3729.27"/>
    <s v="New"/>
    <n v="0.09"/>
    <s v="Bank Transfer"/>
    <s v="Retail"/>
    <s v="North-Alice"/>
    <x v="8"/>
    <s v="Sunday"/>
    <n v="26629.584800000001"/>
    <n v="570.88000000000102"/>
    <n v="519.50080000000094"/>
  </r>
  <r>
    <n v="1008"/>
    <d v="2023-10-13T00:00:00"/>
    <x v="3"/>
    <s v="West"/>
    <n v="1558.3"/>
    <n v="24"/>
    <s v="Electronics"/>
    <n v="1542.24"/>
    <n v="1739.45"/>
    <s v="Returning"/>
    <n v="0.21"/>
    <s v="Bank Transfer"/>
    <s v="Retail"/>
    <s v="West-Eve"/>
    <x v="7"/>
    <s v="Friday"/>
    <n v="29240.870400000003"/>
    <n v="4733.0400000000009"/>
    <n v="3739.1016000000009"/>
  </r>
  <r>
    <n v="1088"/>
    <d v="2023-10-18T00:00:00"/>
    <x v="3"/>
    <s v="West"/>
    <n v="177.63"/>
    <n v="16"/>
    <s v="Furniture"/>
    <n v="3016.9"/>
    <n v="3040.73"/>
    <s v="New"/>
    <n v="0.26"/>
    <s v="Bank Transfer"/>
    <s v="Retail"/>
    <s v="West-Eve"/>
    <x v="7"/>
    <s v="Wednesday"/>
    <n v="35720.095999999998"/>
    <n v="381.27999999999884"/>
    <n v="282.14719999999915"/>
  </r>
  <r>
    <n v="1063"/>
    <d v="2023-08-01T00:00:00"/>
    <x v="0"/>
    <s v="South"/>
    <n v="6346.13"/>
    <n v="4"/>
    <s v="Electronics"/>
    <n v="1046.26"/>
    <n v="1475.29"/>
    <s v="Returning"/>
    <n v="0.09"/>
    <s v="Bank Transfer"/>
    <s v="Retail"/>
    <s v="South-Bob"/>
    <x v="3"/>
    <s v="Tuesday"/>
    <n v="3808.3864000000003"/>
    <n v="1716.12"/>
    <n v="1561.6692"/>
  </r>
  <r>
    <n v="1011"/>
    <d v="2023-06-14T00:00:00"/>
    <x v="4"/>
    <s v="South"/>
    <n v="4531.97"/>
    <n v="38"/>
    <s v="Furniture"/>
    <n v="4456.67"/>
    <n v="4642.46"/>
    <s v="New"/>
    <n v="0.06"/>
    <s v="Bank Transfer"/>
    <s v="Online"/>
    <s v="South-Alice"/>
    <x v="6"/>
    <s v="Wednesday"/>
    <n v="159192.2524"/>
    <n v="7060.0199999999986"/>
    <n v="6636.4187999999986"/>
  </r>
  <r>
    <n v="1081"/>
    <d v="2023-01-05T00:00:00"/>
    <x v="0"/>
    <s v="South"/>
    <n v="1429.32"/>
    <n v="44"/>
    <s v="Food"/>
    <n v="618.79"/>
    <n v="938.04"/>
    <s v="Returning"/>
    <n v="0.03"/>
    <s v="Cash"/>
    <s v="Online"/>
    <s v="South-Bob"/>
    <x v="5"/>
    <s v="Thursday"/>
    <n v="26409.957199999997"/>
    <n v="14047"/>
    <n v="13625.59"/>
  </r>
  <r>
    <n v="1008"/>
    <d v="2023-12-05T00:00:00"/>
    <x v="2"/>
    <s v="East"/>
    <n v="9583.5499999999993"/>
    <n v="27"/>
    <s v="Electronics"/>
    <n v="68.989999999999995"/>
    <n v="429.29"/>
    <s v="Returning"/>
    <n v="0.18"/>
    <s v="Credit Card"/>
    <s v="Retail"/>
    <s v="East-Charlie"/>
    <x v="9"/>
    <s v="Tuesday"/>
    <n v="1527.4386"/>
    <n v="9728.1"/>
    <n v="7977.0420000000013"/>
  </r>
  <r>
    <n v="1035"/>
    <d v="2023-03-19T00:00:00"/>
    <x v="0"/>
    <s v="South"/>
    <n v="5343.63"/>
    <n v="9"/>
    <s v="Clothing"/>
    <n v="2534.94"/>
    <n v="2755.56"/>
    <s v="Returning"/>
    <n v="0.13"/>
    <s v="Credit Card"/>
    <s v="Retail"/>
    <s v="South-Bob"/>
    <x v="4"/>
    <s v="Sunday"/>
    <n v="19848.5802"/>
    <n v="1985.579999999999"/>
    <n v="1727.4545999999991"/>
  </r>
  <r>
    <n v="1035"/>
    <d v="2023-03-03T00:00:00"/>
    <x v="0"/>
    <s v="West"/>
    <n v="2494.7399999999998"/>
    <n v="47"/>
    <s v="Electronics"/>
    <n v="2936.48"/>
    <n v="3096.64"/>
    <s v="New"/>
    <n v="0.06"/>
    <s v="Bank Transfer"/>
    <s v="Online"/>
    <s v="West-Bob"/>
    <x v="4"/>
    <s v="Friday"/>
    <n v="129733.68639999999"/>
    <n v="7527.5199999999932"/>
    <n v="7075.8687999999929"/>
  </r>
  <r>
    <n v="1033"/>
    <d v="2023-05-12T00:00:00"/>
    <x v="0"/>
    <s v="North"/>
    <n v="5055.9799999999996"/>
    <n v="16"/>
    <s v="Furniture"/>
    <n v="2915.88"/>
    <n v="3397.36"/>
    <s v="New"/>
    <n v="0.2"/>
    <s v="Bank Transfer"/>
    <s v="Retail"/>
    <s v="North-Bob"/>
    <x v="10"/>
    <s v="Friday"/>
    <n v="37323.264000000003"/>
    <n v="7703.68"/>
    <n v="6162.9440000000004"/>
  </r>
  <r>
    <n v="1005"/>
    <d v="2023-03-30T00:00:00"/>
    <x v="4"/>
    <s v="East"/>
    <n v="6828.24"/>
    <n v="12"/>
    <s v="Electronics"/>
    <n v="319.83"/>
    <n v="802.43"/>
    <s v="New"/>
    <n v="0.04"/>
    <s v="Credit Card"/>
    <s v="Retail"/>
    <s v="East-Alice"/>
    <x v="4"/>
    <s v="Thursday"/>
    <n v="3684.4416000000001"/>
    <n v="5791.2"/>
    <n v="5559.5519999999997"/>
  </r>
  <r>
    <n v="1041"/>
    <d v="2023-08-25T00:00:00"/>
    <x v="0"/>
    <s v="South"/>
    <n v="854.77"/>
    <n v="31"/>
    <s v="Food"/>
    <n v="1604.52"/>
    <n v="1756.34"/>
    <s v="Returning"/>
    <n v="0.17"/>
    <s v="Cash"/>
    <s v="Retail"/>
    <s v="South-Bob"/>
    <x v="3"/>
    <s v="Friday"/>
    <n v="41284.299599999998"/>
    <n v="4706.4199999999983"/>
    <n v="3906.3285999999985"/>
  </r>
  <r>
    <n v="1028"/>
    <d v="2023-02-11T00:00:00"/>
    <x v="4"/>
    <s v="East"/>
    <n v="2819.57"/>
    <n v="24"/>
    <s v="Clothing"/>
    <n v="2521.0300000000002"/>
    <n v="2766.05"/>
    <s v="Returning"/>
    <n v="0.16"/>
    <s v="Bank Transfer"/>
    <s v="Retail"/>
    <s v="East-Alice"/>
    <x v="0"/>
    <s v="Saturday"/>
    <n v="50823.964800000002"/>
    <n v="5880.48"/>
    <n v="4939.6031999999996"/>
  </r>
  <r>
    <n v="1007"/>
    <d v="2023-03-30T00:00:00"/>
    <x v="1"/>
    <s v="East"/>
    <n v="8088.96"/>
    <n v="14"/>
    <s v="Furniture"/>
    <n v="1122.07"/>
    <n v="1608.76"/>
    <s v="New"/>
    <n v="0.22"/>
    <s v="Cash"/>
    <s v="Retail"/>
    <s v="East-David"/>
    <x v="4"/>
    <s v="Thursday"/>
    <n v="12253.0044"/>
    <n v="6813.6600000000008"/>
    <n v="5314.6548000000012"/>
  </r>
  <r>
    <n v="1073"/>
    <d v="2023-10-23T00:00:00"/>
    <x v="2"/>
    <s v="South"/>
    <n v="4650.68"/>
    <n v="45"/>
    <s v="Clothing"/>
    <n v="4369.5"/>
    <n v="4381.8900000000003"/>
    <s v="Returning"/>
    <n v="0.02"/>
    <s v="Credit Card"/>
    <s v="Retail"/>
    <s v="South-Charlie"/>
    <x v="7"/>
    <s v="Monday"/>
    <n v="192694.94999999998"/>
    <n v="557.55000000001473"/>
    <n v="546.39900000001444"/>
  </r>
  <r>
    <n v="1072"/>
    <d v="2023-11-24T00:00:00"/>
    <x v="4"/>
    <s v="East"/>
    <n v="5511.11"/>
    <n v="25"/>
    <s v="Clothing"/>
    <n v="481.19"/>
    <n v="693.4"/>
    <s v="New"/>
    <n v="0.27"/>
    <s v="Credit Card"/>
    <s v="Retail"/>
    <s v="East-Alice"/>
    <x v="8"/>
    <s v="Friday"/>
    <n v="8781.7175000000007"/>
    <n v="5305.2499999999991"/>
    <n v="3872.8324999999991"/>
  </r>
  <r>
    <n v="1012"/>
    <d v="2023-10-22T00:00:00"/>
    <x v="1"/>
    <s v="North"/>
    <n v="4384.88"/>
    <n v="34"/>
    <s v="Furniture"/>
    <n v="2462.5500000000002"/>
    <n v="2521.77"/>
    <s v="New"/>
    <n v="0.21"/>
    <s v="Bank Transfer"/>
    <s v="Retail"/>
    <s v="North-David"/>
    <x v="7"/>
    <s v="Sunday"/>
    <n v="66144.093000000008"/>
    <n v="2013.4799999999932"/>
    <n v="1590.6491999999946"/>
  </r>
  <r>
    <n v="1034"/>
    <d v="2023-04-14T00:00:00"/>
    <x v="4"/>
    <s v="West"/>
    <n v="534.61"/>
    <n v="3"/>
    <s v="Clothing"/>
    <n v="3472.51"/>
    <n v="3732"/>
    <s v="New"/>
    <n v="0.06"/>
    <s v="Cash"/>
    <s v="Online"/>
    <s v="West-Alice"/>
    <x v="1"/>
    <s v="Friday"/>
    <n v="9792.4781999999996"/>
    <n v="778.46999999999935"/>
    <n v="731.76179999999931"/>
  </r>
  <r>
    <n v="1033"/>
    <d v="2023-01-14T00:00:00"/>
    <x v="4"/>
    <s v="West"/>
    <n v="1740.92"/>
    <n v="24"/>
    <s v="Clothing"/>
    <n v="1345.67"/>
    <n v="1367.76"/>
    <s v="New"/>
    <n v="0.06"/>
    <s v="Bank Transfer"/>
    <s v="Online"/>
    <s v="West-Alice"/>
    <x v="5"/>
    <s v="Saturday"/>
    <n v="30358.315200000001"/>
    <n v="530.15999999999804"/>
    <n v="498.3503999999981"/>
  </r>
  <r>
    <n v="1048"/>
    <d v="2023-10-15T00:00:00"/>
    <x v="2"/>
    <s v="North"/>
    <n v="4510.8599999999997"/>
    <n v="42"/>
    <s v="Electronics"/>
    <n v="3139.99"/>
    <n v="3349.37"/>
    <s v="Returning"/>
    <n v="0.13"/>
    <s v="Credit Card"/>
    <s v="Retail"/>
    <s v="North-Charlie"/>
    <x v="7"/>
    <s v="Sunday"/>
    <n v="114735.23459999998"/>
    <n v="8793.9600000000046"/>
    <n v="7650.7452000000039"/>
  </r>
  <r>
    <n v="1023"/>
    <d v="2023-06-28T00:00:00"/>
    <x v="3"/>
    <s v="East"/>
    <n v="2170.94"/>
    <n v="9"/>
    <s v="Clothing"/>
    <n v="4155.46"/>
    <n v="4273.6000000000004"/>
    <s v="Returning"/>
    <n v="0.25"/>
    <s v="Cash"/>
    <s v="Retail"/>
    <s v="East-Eve"/>
    <x v="6"/>
    <s v="Wednesday"/>
    <n v="28049.355"/>
    <n v="1063.2600000000029"/>
    <n v="797.44500000000221"/>
  </r>
  <r>
    <n v="1062"/>
    <d v="2023-05-05T00:00:00"/>
    <x v="3"/>
    <s v="South"/>
    <n v="594.79"/>
    <n v="26"/>
    <s v="Clothing"/>
    <n v="992.17"/>
    <n v="1263.49"/>
    <s v="Returning"/>
    <n v="0.25"/>
    <s v="Bank Transfer"/>
    <s v="Retail"/>
    <s v="South-Eve"/>
    <x v="10"/>
    <s v="Friday"/>
    <n v="19347.314999999999"/>
    <n v="7054.3200000000015"/>
    <n v="5290.7400000000016"/>
  </r>
  <r>
    <n v="1088"/>
    <d v="2023-12-19T00:00:00"/>
    <x v="4"/>
    <s v="East"/>
    <n v="8452.1299999999992"/>
    <n v="20"/>
    <s v="Clothing"/>
    <n v="4590.24"/>
    <n v="5088.28"/>
    <s v="New"/>
    <n v="0.16"/>
    <s v="Bank Transfer"/>
    <s v="Retail"/>
    <s v="East-Alice"/>
    <x v="9"/>
    <s v="Tuesday"/>
    <n v="77116.031999999992"/>
    <n v="9960.7999999999993"/>
    <n v="8367.0719999999983"/>
  </r>
  <r>
    <n v="1037"/>
    <d v="2023-01-23T00:00:00"/>
    <x v="0"/>
    <s v="North"/>
    <n v="9813.81"/>
    <n v="40"/>
    <s v="Clothing"/>
    <n v="2790.11"/>
    <n v="3192.37"/>
    <s v="Returning"/>
    <n v="0.26"/>
    <s v="Bank Transfer"/>
    <s v="Online"/>
    <s v="North-Bob"/>
    <x v="5"/>
    <s v="Monday"/>
    <n v="82587.256000000008"/>
    <n v="16090.399999999991"/>
    <n v="11906.895999999993"/>
  </r>
  <r>
    <n v="1099"/>
    <d v="2023-03-04T00:00:00"/>
    <x v="1"/>
    <s v="East"/>
    <n v="7952.11"/>
    <n v="10"/>
    <s v="Furniture"/>
    <n v="1531.2"/>
    <n v="1955.56"/>
    <s v="New"/>
    <n v="0"/>
    <s v="Credit Card"/>
    <s v="Online"/>
    <s v="East-David"/>
    <x v="4"/>
    <s v="Saturday"/>
    <n v="15312"/>
    <n v="4243.5999999999985"/>
    <n v="4243.5999999999985"/>
  </r>
  <r>
    <n v="1044"/>
    <d v="2023-05-23T00:00:00"/>
    <x v="0"/>
    <s v="West"/>
    <n v="8552.4699999999993"/>
    <n v="19"/>
    <s v="Food"/>
    <n v="2182.75"/>
    <n v="2504.0299999999902"/>
    <s v="New"/>
    <n v="0.01"/>
    <s v="Bank Transfer"/>
    <s v="Online"/>
    <s v="West-Bob"/>
    <x v="10"/>
    <s v="Tuesday"/>
    <n v="41057.527499999997"/>
    <n v="6104.3199999998142"/>
    <n v="6043.2767999998159"/>
  </r>
  <r>
    <n v="1086"/>
    <d v="2023-06-02T00:00:00"/>
    <x v="0"/>
    <s v="East"/>
    <n v="2495.5700000000002"/>
    <n v="3"/>
    <s v="Electronics"/>
    <n v="1595.35"/>
    <n v="1625.70999999999"/>
    <s v="New"/>
    <n v="0.27"/>
    <s v="Cash"/>
    <s v="Online"/>
    <s v="East-Bob"/>
    <x v="6"/>
    <s v="Friday"/>
    <n v="3493.8164999999995"/>
    <n v="91.079999999970369"/>
    <n v="66.48839999997837"/>
  </r>
  <r>
    <n v="1091"/>
    <d v="2023-05-25T00:00:00"/>
    <x v="4"/>
    <s v="North"/>
    <n v="9610.2099999999991"/>
    <n v="24"/>
    <s v="Clothing"/>
    <n v="3639.3"/>
    <n v="3750.63"/>
    <s v="New"/>
    <n v="0.23"/>
    <s v="Bank Transfer"/>
    <s v="Retail"/>
    <s v="North-Alice"/>
    <x v="10"/>
    <s v="Thursday"/>
    <n v="67254.26400000001"/>
    <n v="2671.9199999999983"/>
    <n v="2057.3783999999987"/>
  </r>
  <r>
    <n v="1035"/>
    <d v="2023-08-13T00:00:00"/>
    <x v="4"/>
    <s v="West"/>
    <n v="2049.56"/>
    <n v="5"/>
    <s v="Clothing"/>
    <n v="3991.69"/>
    <n v="4454.97"/>
    <s v="New"/>
    <n v="0.14000000000000001"/>
    <s v="Credit Card"/>
    <s v="Retail"/>
    <s v="West-Alice"/>
    <x v="3"/>
    <s v="Sunday"/>
    <n v="17164.267"/>
    <n v="2316.400000000001"/>
    <n v="1992.1040000000007"/>
  </r>
  <r>
    <n v="1065"/>
    <d v="2023-11-05T00:00:00"/>
    <x v="4"/>
    <s v="East"/>
    <n v="9519.16"/>
    <n v="3"/>
    <s v="Furniture"/>
    <n v="4173.04"/>
    <n v="4362.4399999999996"/>
    <s v="New"/>
    <n v="0.23"/>
    <s v="Bank Transfer"/>
    <s v="Retail"/>
    <s v="East-Alice"/>
    <x v="8"/>
    <s v="Sunday"/>
    <n v="9639.7223999999987"/>
    <n v="568.19999999999891"/>
    <n v="437.51399999999916"/>
  </r>
  <r>
    <n v="1099"/>
    <d v="2023-04-14T00:00:00"/>
    <x v="4"/>
    <s v="East"/>
    <n v="9948.7099999999991"/>
    <n v="27"/>
    <s v="Food"/>
    <n v="4929.55"/>
    <n v="4990.33"/>
    <s v="Returning"/>
    <n v="0.28999999999999998"/>
    <s v="Credit Card"/>
    <s v="Online"/>
    <s v="East-Alice"/>
    <x v="1"/>
    <s v="Friday"/>
    <n v="94499.473499999993"/>
    <n v="1641.0599999999931"/>
    <n v="1165.1525999999951"/>
  </r>
  <r>
    <n v="1047"/>
    <d v="2023-04-14T00:00:00"/>
    <x v="3"/>
    <s v="West"/>
    <n v="7146.06"/>
    <n v="16"/>
    <s v="Clothing"/>
    <n v="3966.86"/>
    <n v="4321.04"/>
    <s v="Returning"/>
    <n v="0.23"/>
    <s v="Credit Card"/>
    <s v="Retail"/>
    <s v="West-Eve"/>
    <x v="1"/>
    <s v="Friday"/>
    <n v="48871.715200000006"/>
    <n v="5666.8799999999974"/>
    <n v="4363.4975999999979"/>
  </r>
  <r>
    <n v="1078"/>
    <d v="2023-02-08T00:00:00"/>
    <x v="4"/>
    <s v="South"/>
    <n v="9813.32"/>
    <n v="49"/>
    <s v="Furniture"/>
    <n v="3026.85"/>
    <n v="3183.58"/>
    <s v="Returning"/>
    <n v="0.25"/>
    <s v="Cash"/>
    <s v="Retail"/>
    <s v="South-Alice"/>
    <x v="0"/>
    <s v="Wednesday"/>
    <n v="111236.73749999999"/>
    <n v="7679.77"/>
    <n v="5759.8275000000003"/>
  </r>
  <r>
    <n v="1003"/>
    <d v="2023-07-17T00:00:00"/>
    <x v="3"/>
    <s v="West"/>
    <n v="5738.44"/>
    <n v="15"/>
    <s v="Electronics"/>
    <n v="1729.14"/>
    <n v="1870.88"/>
    <s v="Returning"/>
    <n v="0.23"/>
    <s v="Cash"/>
    <s v="Online"/>
    <s v="West-Eve"/>
    <x v="11"/>
    <s v="Monday"/>
    <n v="19971.567000000003"/>
    <n v="2126.1000000000004"/>
    <n v="1637.0970000000002"/>
  </r>
  <r>
    <n v="1001"/>
    <d v="2023-05-14T00:00:00"/>
    <x v="3"/>
    <s v="South"/>
    <n v="2669.46"/>
    <n v="35"/>
    <s v="Electronics"/>
    <n v="2745.75"/>
    <n v="3244.76"/>
    <s v="New"/>
    <n v="0.05"/>
    <s v="Bank Transfer"/>
    <s v="Online"/>
    <s v="South-Eve"/>
    <x v="10"/>
    <s v="Sunday"/>
    <n v="91296.1875"/>
    <n v="17465.350000000006"/>
    <n v="16592.082500000004"/>
  </r>
  <r>
    <n v="1005"/>
    <d v="2023-03-08T00:00:00"/>
    <x v="4"/>
    <s v="North"/>
    <n v="4426.26"/>
    <n v="12"/>
    <s v="Clothing"/>
    <n v="253.29"/>
    <n v="683.78"/>
    <s v="New"/>
    <n v="0.25"/>
    <s v="Credit Card"/>
    <s v="Online"/>
    <s v="North-Alice"/>
    <x v="4"/>
    <s v="Wednesday"/>
    <n v="2279.61"/>
    <n v="5165.88"/>
    <n v="3874.41"/>
  </r>
  <r>
    <n v="1090"/>
    <d v="2023-06-28T00:00:00"/>
    <x v="2"/>
    <s v="North"/>
    <n v="5976.25"/>
    <n v="41"/>
    <s v="Clothing"/>
    <n v="3736.88"/>
    <n v="3946.77"/>
    <s v="Returning"/>
    <n v="0.06"/>
    <s v="Credit Card"/>
    <s v="Online"/>
    <s v="North-Charlie"/>
    <x v="6"/>
    <s v="Wednesday"/>
    <n v="144019.35520000002"/>
    <n v="8605.4899999999943"/>
    <n v="8089.1605999999938"/>
  </r>
  <r>
    <n v="1014"/>
    <d v="2023-02-11T00:00:00"/>
    <x v="1"/>
    <s v="West"/>
    <n v="823.51"/>
    <n v="44"/>
    <s v="Food"/>
    <n v="2257.48"/>
    <n v="2747.81"/>
    <s v="Returning"/>
    <n v="0.27"/>
    <s v="Cash"/>
    <s v="Online"/>
    <s v="West-David"/>
    <x v="0"/>
    <s v="Saturday"/>
    <n v="72510.257599999997"/>
    <n v="21574.519999999997"/>
    <n v="15749.399599999997"/>
  </r>
  <r>
    <n v="1027"/>
    <d v="2023-01-15T00:00:00"/>
    <x v="0"/>
    <s v="West"/>
    <n v="6261.2"/>
    <n v="26"/>
    <s v="Food"/>
    <n v="149.11000000000001"/>
    <n v="477.67"/>
    <s v="Returning"/>
    <n v="0.14000000000000001"/>
    <s v="Cash"/>
    <s v="Retail"/>
    <s v="West-Bob"/>
    <x v="5"/>
    <s v="Sunday"/>
    <n v="3334.0996000000005"/>
    <n v="8542.56"/>
    <n v="7346.6015999999991"/>
  </r>
  <r>
    <n v="1009"/>
    <d v="2023-04-21T00:00:00"/>
    <x v="3"/>
    <s v="North"/>
    <n v="9813.66"/>
    <n v="47"/>
    <s v="Clothing"/>
    <n v="359.41"/>
    <n v="733"/>
    <s v="Returning"/>
    <n v="0.2"/>
    <s v="Bank Transfer"/>
    <s v="Retail"/>
    <s v="North-Eve"/>
    <x v="1"/>
    <s v="Friday"/>
    <n v="13513.816000000001"/>
    <n v="17558.73"/>
    <n v="14046.984"/>
  </r>
  <r>
    <n v="1079"/>
    <d v="2023-06-06T00:00:00"/>
    <x v="1"/>
    <s v="South"/>
    <n v="1982.07"/>
    <n v="34"/>
    <s v="Furniture"/>
    <n v="1967.96"/>
    <n v="1993.4"/>
    <s v="Returning"/>
    <n v="0.15"/>
    <s v="Credit Card"/>
    <s v="Online"/>
    <s v="South-David"/>
    <x v="6"/>
    <s v="Tuesday"/>
    <n v="56874.043999999994"/>
    <n v="864.96000000000186"/>
    <n v="735.2160000000016"/>
  </r>
  <r>
    <n v="1015"/>
    <d v="2023-10-16T00:00:00"/>
    <x v="2"/>
    <s v="North"/>
    <n v="7946.69"/>
    <n v="23"/>
    <s v="Food"/>
    <n v="2937.94"/>
    <n v="3007.53"/>
    <s v="Returning"/>
    <n v="0.03"/>
    <s v="Cash"/>
    <s v="Retail"/>
    <s v="North-Charlie"/>
    <x v="7"/>
    <s v="Monday"/>
    <n v="65545.441399999996"/>
    <n v="1600.5700000000033"/>
    <n v="1552.5529000000031"/>
  </r>
  <r>
    <n v="1090"/>
    <d v="2023-08-19T00:00:00"/>
    <x v="0"/>
    <s v="West"/>
    <n v="9088.2000000000007"/>
    <n v="31"/>
    <s v="Clothing"/>
    <n v="2347.81"/>
    <n v="2668.02"/>
    <s v="Returning"/>
    <n v="0.09"/>
    <s v="Bank Transfer"/>
    <s v="Retail"/>
    <s v="West-Bob"/>
    <x v="3"/>
    <s v="Saturday"/>
    <n v="66231.720100000006"/>
    <n v="9926.510000000002"/>
    <n v="9033.1241000000027"/>
  </r>
  <r>
    <n v="1042"/>
    <d v="2023-06-06T00:00:00"/>
    <x v="0"/>
    <s v="North"/>
    <n v="9442.65"/>
    <n v="20"/>
    <s v="Food"/>
    <n v="3115.06"/>
    <n v="3565.58"/>
    <s v="Returning"/>
    <n v="0.3"/>
    <s v="Credit Card"/>
    <s v="Retail"/>
    <s v="North-Bob"/>
    <x v="6"/>
    <s v="Tuesday"/>
    <n v="43610.84"/>
    <n v="9010.4"/>
    <n v="6307.28"/>
  </r>
  <r>
    <n v="1077"/>
    <d v="2023-02-07T00:00:00"/>
    <x v="3"/>
    <s v="West"/>
    <n v="9605.34"/>
    <n v="12"/>
    <s v="Clothing"/>
    <n v="2427.46"/>
    <n v="2743.09"/>
    <s v="New"/>
    <n v="0.28999999999999998"/>
    <s v="Credit Card"/>
    <s v="Retail"/>
    <s v="West-Eve"/>
    <x v="0"/>
    <s v="Tuesday"/>
    <n v="20681.959199999998"/>
    <n v="3787.5600000000013"/>
    <n v="2689.1676000000007"/>
  </r>
  <r>
    <n v="1051"/>
    <d v="2023-04-07T00:00:00"/>
    <x v="4"/>
    <s v="West"/>
    <n v="5262.45"/>
    <n v="23"/>
    <s v="Electronics"/>
    <n v="3325.43"/>
    <n v="3401.1"/>
    <s v="New"/>
    <n v="0.1"/>
    <s v="Cash"/>
    <s v="Online"/>
    <s v="West-Alice"/>
    <x v="1"/>
    <s v="Friday"/>
    <n v="68836.400999999998"/>
    <n v="1740.4100000000017"/>
    <n v="1566.3690000000015"/>
  </r>
  <r>
    <n v="1063"/>
    <d v="2023-10-16T00:00:00"/>
    <x v="2"/>
    <s v="North"/>
    <n v="9775.35"/>
    <n v="4"/>
    <s v="Clothing"/>
    <n v="1134.67"/>
    <n v="1201.3900000000001"/>
    <s v="New"/>
    <n v="0.3"/>
    <s v="Bank Transfer"/>
    <s v="Retail"/>
    <s v="North-Charlie"/>
    <x v="7"/>
    <s v="Monday"/>
    <n v="3177.076"/>
    <n v="266.88000000000011"/>
    <n v="186.81600000000006"/>
  </r>
  <r>
    <n v="1096"/>
    <d v="2023-09-11T00:00:00"/>
    <x v="3"/>
    <s v="South"/>
    <n v="7597.37"/>
    <n v="23"/>
    <s v="Electronics"/>
    <n v="608.57000000000005"/>
    <n v="1032.22"/>
    <s v="New"/>
    <n v="0.25"/>
    <s v="Cash"/>
    <s v="Retail"/>
    <s v="South-Eve"/>
    <x v="2"/>
    <s v="Monday"/>
    <n v="10497.8325"/>
    <n v="9743.9499999999989"/>
    <n v="7307.9624999999996"/>
  </r>
  <r>
    <n v="1052"/>
    <d v="2023-07-15T00:00:00"/>
    <x v="2"/>
    <s v="East"/>
    <n v="1700.55"/>
    <n v="48"/>
    <s v="Food"/>
    <n v="3002.35"/>
    <n v="3080.61"/>
    <s v="Returning"/>
    <n v="0.18"/>
    <s v="Bank Transfer"/>
    <s v="Retail"/>
    <s v="East-Charlie"/>
    <x v="11"/>
    <s v="Saturday"/>
    <n v="118172.496"/>
    <n v="3756.4800000000105"/>
    <n v="3080.313600000009"/>
  </r>
  <r>
    <n v="1096"/>
    <d v="2023-03-27T00:00:00"/>
    <x v="4"/>
    <s v="North"/>
    <n v="4821.3100000000004"/>
    <n v="48"/>
    <s v="Clothing"/>
    <n v="2449.21"/>
    <n v="2714.12"/>
    <s v="New"/>
    <n v="0.01"/>
    <s v="Credit Card"/>
    <s v="Online"/>
    <s v="North-Alice"/>
    <x v="4"/>
    <s v="Monday"/>
    <n v="116386.4592"/>
    <n v="12715.679999999993"/>
    <n v="12588.523199999992"/>
  </r>
  <r>
    <n v="1004"/>
    <d v="2023-11-18T00:00:00"/>
    <x v="4"/>
    <s v="East"/>
    <n v="7211.48"/>
    <n v="1"/>
    <s v="Food"/>
    <n v="182.99"/>
    <n v="211.18"/>
    <s v="Returning"/>
    <n v="0.27"/>
    <s v="Bank Transfer"/>
    <s v="Retail"/>
    <s v="East-Alice"/>
    <x v="8"/>
    <s v="Saturday"/>
    <n v="133.58270000000002"/>
    <n v="28.189999999999998"/>
    <n v="20.578699999999998"/>
  </r>
  <r>
    <n v="1094"/>
    <d v="2023-01-10T00:00:00"/>
    <x v="3"/>
    <s v="North"/>
    <n v="2548.67"/>
    <n v="25"/>
    <s v="Electronics"/>
    <n v="1933.39"/>
    <n v="1982.92"/>
    <s v="New"/>
    <n v="0.17"/>
    <s v="Bank Transfer"/>
    <s v="Online"/>
    <s v="North-Eve"/>
    <x v="5"/>
    <s v="Tuesday"/>
    <n v="40117.842499999999"/>
    <n v="1238.2499999999993"/>
    <n v="1027.7474999999995"/>
  </r>
  <r>
    <n v="1023"/>
    <d v="2023-01-05T00:00:00"/>
    <x v="4"/>
    <s v="East"/>
    <n v="6442.09"/>
    <n v="2"/>
    <s v="Clothing"/>
    <n v="575.32000000000005"/>
    <n v="914.77"/>
    <s v="Returning"/>
    <n v="0.26"/>
    <s v="Bank Transfer"/>
    <s v="Online"/>
    <s v="East-Alice"/>
    <x v="5"/>
    <s v="Thursday"/>
    <n v="851.47360000000003"/>
    <n v="678.89999999999986"/>
    <n v="502.38599999999991"/>
  </r>
  <r>
    <n v="1015"/>
    <d v="2023-05-03T00:00:00"/>
    <x v="1"/>
    <s v="South"/>
    <n v="6699.34"/>
    <n v="30"/>
    <s v="Food"/>
    <n v="2680.22"/>
    <n v="3027.9199999999901"/>
    <s v="Returning"/>
    <n v="0.25"/>
    <s v="Bank Transfer"/>
    <s v="Online"/>
    <s v="South-David"/>
    <x v="10"/>
    <s v="Wednesday"/>
    <n v="60304.95"/>
    <n v="10430.999999999709"/>
    <n v="7823.2499999997817"/>
  </r>
  <r>
    <n v="1043"/>
    <d v="2023-11-26T00:00:00"/>
    <x v="0"/>
    <s v="South"/>
    <n v="1710.73"/>
    <n v="3"/>
    <s v="Electronics"/>
    <n v="2009.1"/>
    <n v="2186.42"/>
    <s v="New"/>
    <n v="0.25"/>
    <s v="Bank Transfer"/>
    <s v="Online"/>
    <s v="South-Bob"/>
    <x v="8"/>
    <s v="Sunday"/>
    <n v="4520.4749999999995"/>
    <n v="531.96000000000049"/>
    <n v="398.97000000000037"/>
  </r>
  <r>
    <n v="1029"/>
    <d v="2023-12-19T00:00:00"/>
    <x v="3"/>
    <s v="North"/>
    <n v="5694.34"/>
    <n v="21"/>
    <s v="Food"/>
    <n v="3085.1"/>
    <n v="3200.75"/>
    <s v="New"/>
    <n v="0.21"/>
    <s v="Cash"/>
    <s v="Retail"/>
    <s v="North-Eve"/>
    <x v="9"/>
    <s v="Tuesday"/>
    <n v="51181.809000000001"/>
    <n v="2428.6500000000019"/>
    <n v="1918.6335000000015"/>
  </r>
  <r>
    <n v="1036"/>
    <d v="2023-04-28T00:00:00"/>
    <x v="2"/>
    <s v="West"/>
    <n v="7739.11"/>
    <n v="25"/>
    <s v="Furniture"/>
    <n v="4037.73"/>
    <n v="4446.45"/>
    <s v="Returning"/>
    <n v="0.09"/>
    <s v="Bank Transfer"/>
    <s v="Online"/>
    <s v="West-Charlie"/>
    <x v="1"/>
    <s v="Friday"/>
    <n v="91858.357499999998"/>
    <n v="10217.999999999995"/>
    <n v="9298.3799999999956"/>
  </r>
  <r>
    <n v="1013"/>
    <d v="2023-10-21T00:00:00"/>
    <x v="1"/>
    <s v="East"/>
    <n v="5039.07"/>
    <n v="20"/>
    <s v="Electronics"/>
    <n v="1533.36"/>
    <n v="1649.73999999999"/>
    <s v="Returning"/>
    <n v="0.1"/>
    <s v="Bank Transfer"/>
    <s v="Online"/>
    <s v="East-David"/>
    <x v="7"/>
    <s v="Saturday"/>
    <n v="27600.48"/>
    <n v="2327.5999999998021"/>
    <n v="2094.8399999998219"/>
  </r>
  <r>
    <n v="1032"/>
    <d v="2023-06-08T00:00:00"/>
    <x v="3"/>
    <s v="West"/>
    <n v="219.82"/>
    <n v="49"/>
    <s v="Electronics"/>
    <n v="4812.41"/>
    <n v="5088"/>
    <s v="Returning"/>
    <n v="0.09"/>
    <s v="Credit Card"/>
    <s v="Online"/>
    <s v="West-Eve"/>
    <x v="6"/>
    <s v="Thursday"/>
    <n v="214585.36190000002"/>
    <n v="13503.910000000007"/>
    <n v="12288.558100000007"/>
  </r>
  <r>
    <n v="1071"/>
    <d v="2023-10-30T00:00:00"/>
    <x v="4"/>
    <s v="West"/>
    <n v="189.48"/>
    <n v="22"/>
    <s v="Electronics"/>
    <n v="2701.39"/>
    <n v="3185.81"/>
    <s v="New"/>
    <n v="0.01"/>
    <s v="Bank Transfer"/>
    <s v="Online"/>
    <s v="West-Alice"/>
    <x v="7"/>
    <s v="Monday"/>
    <n v="58836.274199999993"/>
    <n v="10657.240000000002"/>
    <n v="10550.667600000001"/>
  </r>
  <r>
    <n v="1059"/>
    <d v="2023-08-16T00:00:00"/>
    <x v="4"/>
    <s v="West"/>
    <n v="3634.59"/>
    <n v="21"/>
    <s v="Clothing"/>
    <n v="3110.54"/>
    <n v="3192.99"/>
    <s v="New"/>
    <n v="0.17"/>
    <s v="Credit Card"/>
    <s v="Online"/>
    <s v="West-Alice"/>
    <x v="3"/>
    <s v="Wednesday"/>
    <n v="54216.712199999994"/>
    <n v="1731.4499999999962"/>
    <n v="1437.1034999999968"/>
  </r>
  <r>
    <n v="1086"/>
    <d v="2023-12-31T00:00:00"/>
    <x v="4"/>
    <s v="South"/>
    <n v="9269.32"/>
    <n v="33"/>
    <s v="Clothing"/>
    <n v="3419.33"/>
    <n v="3890.3599999999901"/>
    <s v="Returning"/>
    <n v="0.21"/>
    <s v="Cash"/>
    <s v="Retail"/>
    <s v="South-Alice"/>
    <x v="9"/>
    <s v="Sunday"/>
    <n v="89141.933100000009"/>
    <n v="15543.989999999676"/>
    <n v="12279.752099999745"/>
  </r>
  <r>
    <n v="1028"/>
    <d v="2023-08-04T00:00:00"/>
    <x v="4"/>
    <s v="North"/>
    <n v="2363.9"/>
    <n v="38"/>
    <s v="Clothing"/>
    <n v="3350.32"/>
    <n v="3449.94"/>
    <s v="New"/>
    <n v="0.26"/>
    <s v="Cash"/>
    <s v="Online"/>
    <s v="North-Alice"/>
    <x v="3"/>
    <s v="Friday"/>
    <n v="94210.998399999997"/>
    <n v="3785.5599999999959"/>
    <n v="2801.314399999997"/>
  </r>
  <r>
    <n v="1066"/>
    <d v="2023-07-03T00:00:00"/>
    <x v="2"/>
    <s v="North"/>
    <n v="6380.2"/>
    <n v="15"/>
    <s v="Furniture"/>
    <n v="2579.31"/>
    <n v="2867.36"/>
    <s v="Returning"/>
    <n v="0.04"/>
    <s v="Bank Transfer"/>
    <s v="Retail"/>
    <s v="North-Charlie"/>
    <x v="11"/>
    <s v="Monday"/>
    <n v="37142.063999999998"/>
    <n v="4320.7500000000027"/>
    <n v="4147.9200000000028"/>
  </r>
  <r>
    <n v="1042"/>
    <d v="2023-01-15T00:00:00"/>
    <x v="1"/>
    <s v="South"/>
    <n v="2298.5500000000002"/>
    <n v="46"/>
    <s v="Furniture"/>
    <n v="2172.38"/>
    <n v="2367.11"/>
    <s v="New"/>
    <n v="0.16"/>
    <s v="Cash"/>
    <s v="Retail"/>
    <s v="South-David"/>
    <x v="5"/>
    <s v="Sunday"/>
    <n v="83940.763200000001"/>
    <n v="8957.5800000000017"/>
    <n v="7524.3672000000015"/>
  </r>
  <r>
    <n v="1045"/>
    <d v="2023-06-06T00:00:00"/>
    <x v="0"/>
    <s v="South"/>
    <n v="3284.53"/>
    <n v="15"/>
    <s v="Electronics"/>
    <n v="316.22000000000003"/>
    <n v="799.04"/>
    <s v="New"/>
    <n v="0"/>
    <s v="Bank Transfer"/>
    <s v="Online"/>
    <s v="South-Bob"/>
    <x v="6"/>
    <s v="Tuesday"/>
    <n v="4743.3"/>
    <n v="7242.2999999999993"/>
    <n v="7242.2999999999993"/>
  </r>
  <r>
    <n v="1062"/>
    <d v="2023-05-16T00:00:00"/>
    <x v="2"/>
    <s v="North"/>
    <n v="8495.6200000000008"/>
    <n v="46"/>
    <s v="Furniture"/>
    <n v="159.32"/>
    <n v="303.36"/>
    <s v="New"/>
    <n v="0.03"/>
    <s v="Cash"/>
    <s v="Retail"/>
    <s v="North-Charlie"/>
    <x v="10"/>
    <s v="Tuesday"/>
    <n v="7108.8583999999992"/>
    <n v="6625.8400000000011"/>
    <n v="6427.064800000001"/>
  </r>
  <r>
    <n v="1057"/>
    <d v="2023-09-18T00:00:00"/>
    <x v="2"/>
    <s v="West"/>
    <n v="7315.73"/>
    <n v="25"/>
    <s v="Food"/>
    <n v="1821.91"/>
    <n v="2027.74"/>
    <s v="New"/>
    <n v="0.02"/>
    <s v="Bank Transfer"/>
    <s v="Retail"/>
    <s v="West-Charlie"/>
    <x v="2"/>
    <s v="Monday"/>
    <n v="44636.794999999998"/>
    <n v="5145.7499999999982"/>
    <n v="5042.8349999999982"/>
  </r>
  <r>
    <n v="1006"/>
    <d v="2023-06-06T00:00:00"/>
    <x v="0"/>
    <s v="East"/>
    <n v="1044.45"/>
    <n v="21"/>
    <s v="Electronics"/>
    <n v="1701.62"/>
    <n v="2193.2199999999998"/>
    <s v="New"/>
    <n v="0.22"/>
    <s v="Bank Transfer"/>
    <s v="Retail"/>
    <s v="East-Bob"/>
    <x v="6"/>
    <s v="Tuesday"/>
    <n v="27872.535599999999"/>
    <n v="10323.599999999999"/>
    <n v="8052.4079999999994"/>
  </r>
  <r>
    <n v="1028"/>
    <d v="2023-02-16T00:00:00"/>
    <x v="0"/>
    <s v="East"/>
    <n v="4344.1499999999996"/>
    <n v="24"/>
    <s v="Electronics"/>
    <n v="1969.09"/>
    <n v="2241.96"/>
    <s v="Returning"/>
    <n v="0.02"/>
    <s v="Credit Card"/>
    <s v="Online"/>
    <s v="East-Bob"/>
    <x v="0"/>
    <s v="Thursday"/>
    <n v="46312.996799999994"/>
    <n v="6548.8800000000028"/>
    <n v="6417.9024000000027"/>
  </r>
  <r>
    <n v="1028"/>
    <d v="2023-11-20T00:00:00"/>
    <x v="4"/>
    <s v="East"/>
    <n v="388.78"/>
    <n v="5"/>
    <s v="Food"/>
    <n v="734.92"/>
    <n v="991.21"/>
    <s v="Returning"/>
    <n v="0.21"/>
    <s v="Credit Card"/>
    <s v="Online"/>
    <s v="East-Alice"/>
    <x v="8"/>
    <s v="Monday"/>
    <n v="2902.9340000000002"/>
    <n v="1281.4500000000003"/>
    <n v="1012.3455000000002"/>
  </r>
  <r>
    <n v="1044"/>
    <d v="2023-11-28T00:00:00"/>
    <x v="2"/>
    <s v="West"/>
    <n v="4860.8100000000004"/>
    <n v="6"/>
    <s v="Electronics"/>
    <n v="3703.93"/>
    <n v="3840.24"/>
    <s v="New"/>
    <n v="7.0000000000000007E-2"/>
    <s v="Credit Card"/>
    <s v="Online"/>
    <s v="West-Charlie"/>
    <x v="8"/>
    <s v="Tuesday"/>
    <n v="20667.929399999997"/>
    <n v="817.85999999999967"/>
    <n v="760.60979999999961"/>
  </r>
  <r>
    <n v="1084"/>
    <d v="2023-06-22T00:00:00"/>
    <x v="3"/>
    <s v="North"/>
    <n v="6658.1"/>
    <n v="49"/>
    <s v="Furniture"/>
    <n v="4291.97"/>
    <n v="4645.6400000000003"/>
    <s v="Returning"/>
    <n v="0.26"/>
    <s v="Credit Card"/>
    <s v="Online"/>
    <s v="North-Eve"/>
    <x v="6"/>
    <s v="Thursday"/>
    <n v="155626.8322"/>
    <n v="17329.830000000002"/>
    <n v="12824.074200000001"/>
  </r>
  <r>
    <n v="1030"/>
    <d v="2023-05-10T00:00:00"/>
    <x v="0"/>
    <s v="South"/>
    <n v="1273.18"/>
    <n v="43"/>
    <s v="Clothing"/>
    <n v="4696.6400000000003"/>
    <n v="4713.68"/>
    <s v="Returning"/>
    <n v="0.24"/>
    <s v="Bank Transfer"/>
    <s v="Online"/>
    <s v="South-Bob"/>
    <x v="10"/>
    <s v="Wednesday"/>
    <n v="153486.19520000002"/>
    <n v="732.71999999999844"/>
    <n v="556.86719999999877"/>
  </r>
  <r>
    <n v="1062"/>
    <d v="2023-04-05T00:00:00"/>
    <x v="0"/>
    <s v="North"/>
    <n v="2959.96"/>
    <n v="48"/>
    <s v="Food"/>
    <n v="2487.19"/>
    <n v="2521.4499999999998"/>
    <s v="New"/>
    <n v="0.28999999999999998"/>
    <s v="Cash"/>
    <s v="Online"/>
    <s v="North-Bob"/>
    <x v="1"/>
    <s v="Wednesday"/>
    <n v="84763.435199999993"/>
    <n v="1644.4799999999886"/>
    <n v="1167.580799999992"/>
  </r>
  <r>
    <n v="1075"/>
    <d v="2023-04-25T00:00:00"/>
    <x v="1"/>
    <s v="West"/>
    <n v="4038.58"/>
    <n v="44"/>
    <s v="Furniture"/>
    <n v="3519.29"/>
    <n v="3822.98"/>
    <s v="Returning"/>
    <n v="0.27"/>
    <s v="Bank Transfer"/>
    <s v="Online"/>
    <s v="West-David"/>
    <x v="1"/>
    <s v="Tuesday"/>
    <n v="113039.59480000001"/>
    <n v="13362.360000000002"/>
    <n v="9754.5228000000006"/>
  </r>
  <r>
    <n v="1092"/>
    <d v="2023-08-31T00:00:00"/>
    <x v="3"/>
    <s v="South"/>
    <n v="9203.36"/>
    <n v="47"/>
    <s v="Food"/>
    <n v="4284.9799999999996"/>
    <n v="4462.3999999999996"/>
    <s v="New"/>
    <n v="0.28000000000000003"/>
    <s v="Credit Card"/>
    <s v="Retail"/>
    <s v="South-Eve"/>
    <x v="3"/>
    <s v="Thursday"/>
    <n v="145003.72319999998"/>
    <n v="8338.7400000000034"/>
    <n v="6003.8928000000024"/>
  </r>
  <r>
    <n v="1089"/>
    <d v="2023-10-19T00:00:00"/>
    <x v="3"/>
    <s v="West"/>
    <n v="9933.2199999999993"/>
    <n v="23"/>
    <s v="Food"/>
    <n v="2120.54"/>
    <n v="2597.67"/>
    <s v="Returning"/>
    <n v="0.26"/>
    <s v="Credit Card"/>
    <s v="Retail"/>
    <s v="West-Eve"/>
    <x v="7"/>
    <s v="Thursday"/>
    <n v="36091.590799999998"/>
    <n v="10973.990000000002"/>
    <n v="8120.7526000000007"/>
  </r>
  <r>
    <n v="1062"/>
    <d v="2023-10-09T00:00:00"/>
    <x v="0"/>
    <s v="East"/>
    <n v="544.62"/>
    <n v="4"/>
    <s v="Electronics"/>
    <n v="1581.59"/>
    <n v="2034.1499999999901"/>
    <s v="Returning"/>
    <n v="0.21"/>
    <s v="Cash"/>
    <s v="Online"/>
    <s v="East-Bob"/>
    <x v="7"/>
    <s v="Monday"/>
    <n v="4997.8243999999995"/>
    <n v="1810.2399999999607"/>
    <n v="1430.0895999999691"/>
  </r>
  <r>
    <n v="1097"/>
    <d v="2023-10-26T00:00:00"/>
    <x v="4"/>
    <s v="East"/>
    <n v="7633.98"/>
    <n v="27"/>
    <s v="Electronics"/>
    <n v="4686.79"/>
    <n v="5046.51"/>
    <s v="Returning"/>
    <n v="0.05"/>
    <s v="Credit Card"/>
    <s v="Retail"/>
    <s v="East-Alice"/>
    <x v="7"/>
    <s v="Thursday"/>
    <n v="120216.1635"/>
    <n v="9712.440000000006"/>
    <n v="9226.8180000000048"/>
  </r>
  <r>
    <n v="1001"/>
    <d v="2023-10-10T00:00:00"/>
    <x v="1"/>
    <s v="West"/>
    <n v="3780.07"/>
    <n v="18"/>
    <s v="Furniture"/>
    <n v="2602.6"/>
    <n v="3013.49"/>
    <s v="Returning"/>
    <n v="0.08"/>
    <s v="Bank Transfer"/>
    <s v="Online"/>
    <s v="West-David"/>
    <x v="7"/>
    <s v="Tuesday"/>
    <n v="43099.055999999997"/>
    <n v="7396.0199999999977"/>
    <n v="6804.3383999999978"/>
  </r>
  <r>
    <n v="1027"/>
    <d v="2023-03-10T00:00:00"/>
    <x v="3"/>
    <s v="South"/>
    <n v="3985.34"/>
    <n v="21"/>
    <s v="Food"/>
    <n v="2511.41"/>
    <n v="2848.3999999999901"/>
    <s v="Returning"/>
    <n v="0.06"/>
    <s v="Bank Transfer"/>
    <s v="Online"/>
    <s v="South-Eve"/>
    <x v="4"/>
    <s v="Friday"/>
    <n v="49575.233399999997"/>
    <n v="7076.7899999997953"/>
    <n v="6652.1825999998073"/>
  </r>
  <r>
    <n v="1062"/>
    <d v="2023-05-28T00:00:00"/>
    <x v="0"/>
    <s v="South"/>
    <n v="7567.22"/>
    <n v="28"/>
    <s v="Electronics"/>
    <n v="933.16"/>
    <n v="1004.69999999999"/>
    <s v="Returning"/>
    <n v="0.18"/>
    <s v="Bank Transfer"/>
    <s v="Online"/>
    <s v="South-Bob"/>
    <x v="10"/>
    <s v="Sunday"/>
    <n v="21425.353600000002"/>
    <n v="2003.119999999722"/>
    <n v="1642.5583999997723"/>
  </r>
  <r>
    <n v="1077"/>
    <d v="2023-01-11T00:00:00"/>
    <x v="3"/>
    <s v="North"/>
    <n v="9192.42"/>
    <n v="35"/>
    <s v="Electronics"/>
    <n v="585.37"/>
    <n v="970.49"/>
    <s v="Returning"/>
    <n v="0.15"/>
    <s v="Bank Transfer"/>
    <s v="Retail"/>
    <s v="North-Eve"/>
    <x v="5"/>
    <s v="Wednesday"/>
    <n v="17414.7575"/>
    <n v="13479.2"/>
    <n v="11457.32"/>
  </r>
  <r>
    <n v="1003"/>
    <d v="2023-09-11T00:00:00"/>
    <x v="1"/>
    <s v="East"/>
    <n v="9514.19"/>
    <n v="22"/>
    <s v="Food"/>
    <n v="4218.43"/>
    <n v="4331.42"/>
    <s v="New"/>
    <n v="0.26"/>
    <s v="Bank Transfer"/>
    <s v="Online"/>
    <s v="East-David"/>
    <x v="2"/>
    <s v="Monday"/>
    <n v="68676.040399999998"/>
    <n v="2485.7799999999952"/>
    <n v="1839.4771999999964"/>
  </r>
  <r>
    <n v="1070"/>
    <d v="2023-11-26T00:00:00"/>
    <x v="1"/>
    <s v="North"/>
    <n v="5813.51"/>
    <n v="40"/>
    <s v="Furniture"/>
    <n v="3089.96"/>
    <n v="3258.45"/>
    <s v="New"/>
    <n v="0.28999999999999998"/>
    <s v="Cash"/>
    <s v="Online"/>
    <s v="North-David"/>
    <x v="8"/>
    <s v="Sunday"/>
    <n v="87754.863999999987"/>
    <n v="6739.5999999999913"/>
    <n v="4785.1159999999936"/>
  </r>
  <r>
    <n v="1072"/>
    <d v="2023-12-26T00:00:00"/>
    <x v="2"/>
    <s v="North"/>
    <n v="3635.5"/>
    <n v="23"/>
    <s v="Furniture"/>
    <n v="1662.83"/>
    <n v="2074.25"/>
    <s v="New"/>
    <n v="0.12"/>
    <s v="Bank Transfer"/>
    <s v="Online"/>
    <s v="North-Charlie"/>
    <x v="9"/>
    <s v="Tuesday"/>
    <n v="33655.679199999999"/>
    <n v="9462.6600000000017"/>
    <n v="8327.140800000001"/>
  </r>
  <r>
    <n v="1027"/>
    <d v="2023-02-07T00:00:00"/>
    <x v="0"/>
    <s v="West"/>
    <n v="7896.74"/>
    <n v="3"/>
    <s v="Food"/>
    <n v="999.09"/>
    <n v="1271.99"/>
    <s v="New"/>
    <n v="0.15"/>
    <s v="Credit Card"/>
    <s v="Online"/>
    <s v="West-Bob"/>
    <x v="0"/>
    <s v="Tuesday"/>
    <n v="2547.6794999999997"/>
    <n v="818.69999999999993"/>
    <n v="695.89499999999987"/>
  </r>
  <r>
    <n v="1009"/>
    <d v="2023-05-14T00:00:00"/>
    <x v="1"/>
    <s v="West"/>
    <n v="2584.91"/>
    <n v="40"/>
    <s v="Furniture"/>
    <n v="2799.71"/>
    <n v="3231.08"/>
    <s v="Returning"/>
    <n v="0.28999999999999998"/>
    <s v="Credit Card"/>
    <s v="Retail"/>
    <s v="West-David"/>
    <x v="10"/>
    <s v="Sunday"/>
    <n v="79511.763999999996"/>
    <n v="17254.799999999996"/>
    <n v="12250.907999999996"/>
  </r>
  <r>
    <n v="1062"/>
    <d v="2023-07-19T00:00:00"/>
    <x v="2"/>
    <s v="North"/>
    <n v="5684.33"/>
    <n v="10"/>
    <s v="Electronics"/>
    <n v="2940.4"/>
    <n v="3054.79"/>
    <s v="Returning"/>
    <n v="0.08"/>
    <s v="Credit Card"/>
    <s v="Online"/>
    <s v="North-Charlie"/>
    <x v="11"/>
    <s v="Wednesday"/>
    <n v="27051.68"/>
    <n v="1143.8999999999987"/>
    <n v="1052.3879999999988"/>
  </r>
  <r>
    <n v="1037"/>
    <d v="2023-01-23T00:00:00"/>
    <x v="2"/>
    <s v="East"/>
    <n v="3649.93"/>
    <n v="25"/>
    <s v="Food"/>
    <n v="1074.6199999999999"/>
    <n v="1382.4299999999901"/>
    <s v="Returning"/>
    <n v="0.24"/>
    <s v="Credit Card"/>
    <s v="Retail"/>
    <s v="East-Charlie"/>
    <x v="5"/>
    <s v="Monday"/>
    <n v="20417.78"/>
    <n v="7695.2499999997544"/>
    <n v="5848.3899999998139"/>
  </r>
  <r>
    <n v="1097"/>
    <d v="2023-10-30T00:00:00"/>
    <x v="3"/>
    <s v="West"/>
    <n v="6600.65"/>
    <n v="49"/>
    <s v="Electronics"/>
    <n v="4264.46"/>
    <n v="4315.5200000000004"/>
    <s v="New"/>
    <n v="7.0000000000000007E-2"/>
    <s v="Cash"/>
    <s v="Retail"/>
    <s v="West-Eve"/>
    <x v="7"/>
    <s v="Monday"/>
    <n v="194331.44219999999"/>
    <n v="2501.9400000000196"/>
    <n v="2326.8042000000182"/>
  </r>
  <r>
    <n v="1051"/>
    <d v="2023-12-12T00:00:00"/>
    <x v="3"/>
    <s v="North"/>
    <n v="2479.9499999999998"/>
    <n v="8"/>
    <s v="Clothing"/>
    <n v="467.11"/>
    <n v="792.21"/>
    <s v="New"/>
    <n v="0.2"/>
    <s v="Credit Card"/>
    <s v="Online"/>
    <s v="North-Eve"/>
    <x v="9"/>
    <s v="Tuesday"/>
    <n v="2989.5040000000004"/>
    <n v="2600.8000000000002"/>
    <n v="2080.6400000000003"/>
  </r>
  <r>
    <n v="1044"/>
    <d v="2023-10-29T00:00:00"/>
    <x v="2"/>
    <s v="North"/>
    <n v="1996.77"/>
    <n v="11"/>
    <s v="Clothing"/>
    <n v="1812.66"/>
    <n v="2196.3000000000002"/>
    <s v="New"/>
    <n v="0.08"/>
    <s v="Cash"/>
    <s v="Online"/>
    <s v="North-Charlie"/>
    <x v="7"/>
    <s v="Sunday"/>
    <n v="18344.119200000001"/>
    <n v="4220.0400000000009"/>
    <n v="3882.4368000000009"/>
  </r>
  <r>
    <n v="1024"/>
    <d v="2023-12-29T00:00:00"/>
    <x v="3"/>
    <s v="North"/>
    <n v="9190.57"/>
    <n v="5"/>
    <s v="Furniture"/>
    <n v="3417.9"/>
    <n v="3714.52"/>
    <s v="Returning"/>
    <n v="0.27"/>
    <s v="Credit Card"/>
    <s v="Retail"/>
    <s v="North-Eve"/>
    <x v="9"/>
    <s v="Friday"/>
    <n v="12475.334999999999"/>
    <n v="1483.0999999999995"/>
    <n v="1082.6629999999996"/>
  </r>
  <r>
    <n v="1079"/>
    <d v="2023-08-06T00:00:00"/>
    <x v="1"/>
    <s v="North"/>
    <n v="1107.8599999999999"/>
    <n v="45"/>
    <s v="Clothing"/>
    <n v="1406.9"/>
    <n v="1547.35"/>
    <s v="New"/>
    <n v="0.17"/>
    <s v="Cash"/>
    <s v="Retail"/>
    <s v="North-David"/>
    <x v="3"/>
    <s v="Sunday"/>
    <n v="52547.715000000004"/>
    <n v="6320.2499999999918"/>
    <n v="5245.8074999999926"/>
  </r>
  <r>
    <n v="1059"/>
    <d v="2023-05-21T00:00:00"/>
    <x v="4"/>
    <s v="North"/>
    <n v="5108.9799999999996"/>
    <n v="37"/>
    <s v="Electronics"/>
    <n v="4146.99"/>
    <n v="4172.3499999999904"/>
    <s v="Returning"/>
    <n v="0.06"/>
    <s v="Cash"/>
    <s v="Retail"/>
    <s v="North-Alice"/>
    <x v="10"/>
    <s v="Sunday"/>
    <n v="144232.31219999999"/>
    <n v="938.31999999965137"/>
    <n v="882.02079999967225"/>
  </r>
  <r>
    <n v="1032"/>
    <d v="2023-04-14T00:00:00"/>
    <x v="1"/>
    <s v="North"/>
    <n v="2286.44"/>
    <n v="45"/>
    <s v="Clothing"/>
    <n v="3712.35"/>
    <n v="3780.88"/>
    <s v="New"/>
    <n v="7.0000000000000007E-2"/>
    <s v="Cash"/>
    <s v="Retail"/>
    <s v="North-David"/>
    <x v="1"/>
    <s v="Friday"/>
    <n v="155361.8475"/>
    <n v="3083.850000000009"/>
    <n v="2867.9805000000083"/>
  </r>
  <r>
    <n v="1096"/>
    <d v="2023-07-29T00:00:00"/>
    <x v="2"/>
    <s v="West"/>
    <n v="485.41"/>
    <n v="38"/>
    <s v="Electronics"/>
    <n v="3955.66"/>
    <n v="4270.59"/>
    <s v="Returning"/>
    <n v="0.15"/>
    <s v="Credit Card"/>
    <s v="Online"/>
    <s v="West-Charlie"/>
    <x v="11"/>
    <s v="Saturday"/>
    <n v="127767.81799999998"/>
    <n v="11967.340000000011"/>
    <n v="10172.239000000009"/>
  </r>
  <r>
    <n v="1088"/>
    <d v="2023-04-21T00:00:00"/>
    <x v="2"/>
    <s v="East"/>
    <n v="456.59"/>
    <n v="29"/>
    <s v="Furniture"/>
    <n v="639.58000000000004"/>
    <n v="1107.45"/>
    <s v="New"/>
    <n v="0.28999999999999998"/>
    <s v="Cash"/>
    <s v="Retail"/>
    <s v="East-Charlie"/>
    <x v="1"/>
    <s v="Friday"/>
    <n v="13168.9522"/>
    <n v="13568.23"/>
    <n v="9633.443299999999"/>
  </r>
  <r>
    <n v="1052"/>
    <d v="2023-04-14T00:00:00"/>
    <x v="1"/>
    <s v="North"/>
    <n v="1834.7"/>
    <n v="5"/>
    <s v="Furniture"/>
    <n v="745.71"/>
    <n v="856.91"/>
    <s v="Returning"/>
    <n v="0.23"/>
    <s v="Bank Transfer"/>
    <s v="Retail"/>
    <s v="North-David"/>
    <x v="1"/>
    <s v="Friday"/>
    <n v="2870.9835000000003"/>
    <n v="555.99999999999966"/>
    <n v="428.11999999999972"/>
  </r>
  <r>
    <n v="1062"/>
    <d v="2023-11-12T00:00:00"/>
    <x v="3"/>
    <s v="South"/>
    <n v="8681.0300000000007"/>
    <n v="9"/>
    <s v="Electronics"/>
    <n v="1468.05"/>
    <n v="1838.21"/>
    <s v="New"/>
    <n v="0.15"/>
    <s v="Bank Transfer"/>
    <s v="Retail"/>
    <s v="South-Eve"/>
    <x v="8"/>
    <s v="Sunday"/>
    <n v="11230.582499999999"/>
    <n v="3331.4400000000005"/>
    <n v="2831.7240000000002"/>
  </r>
  <r>
    <n v="1058"/>
    <d v="2023-06-20T00:00:00"/>
    <x v="3"/>
    <s v="West"/>
    <n v="2896.54"/>
    <n v="48"/>
    <s v="Clothing"/>
    <n v="2614.48"/>
    <n v="3049.04"/>
    <s v="New"/>
    <n v="0.1"/>
    <s v="Credit Card"/>
    <s v="Retail"/>
    <s v="West-Eve"/>
    <x v="6"/>
    <s v="Tuesday"/>
    <n v="112945.53600000001"/>
    <n v="20858.879999999997"/>
    <n v="18772.991999999998"/>
  </r>
  <r>
    <n v="1052"/>
    <d v="2023-12-22T00:00:00"/>
    <x v="2"/>
    <s v="West"/>
    <n v="9509.5499999999993"/>
    <n v="2"/>
    <s v="Furniture"/>
    <n v="3752.68"/>
    <n v="4017.91"/>
    <s v="Returning"/>
    <n v="0.16"/>
    <s v="Bank Transfer"/>
    <s v="Online"/>
    <s v="West-Charlie"/>
    <x v="9"/>
    <s v="Friday"/>
    <n v="6304.5023999999994"/>
    <n v="530.46"/>
    <n v="445.58640000000003"/>
  </r>
  <r>
    <n v="1012"/>
    <d v="2023-11-20T00:00:00"/>
    <x v="0"/>
    <s v="North"/>
    <n v="5858.06"/>
    <n v="1"/>
    <s v="Food"/>
    <n v="4190.83"/>
    <n v="4528.7699999999904"/>
    <s v="Returning"/>
    <n v="0.22"/>
    <s v="Bank Transfer"/>
    <s v="Online"/>
    <s v="North-Bob"/>
    <x v="8"/>
    <s v="Monday"/>
    <n v="3268.8474000000001"/>
    <n v="337.9399999999905"/>
    <n v="263.59319999999258"/>
  </r>
  <r>
    <n v="1039"/>
    <d v="2023-05-13T00:00:00"/>
    <x v="3"/>
    <s v="West"/>
    <n v="4422.4799999999996"/>
    <n v="40"/>
    <s v="Furniture"/>
    <n v="3536.46"/>
    <n v="3945.82"/>
    <s v="New"/>
    <n v="0.24"/>
    <s v="Bank Transfer"/>
    <s v="Online"/>
    <s v="West-Eve"/>
    <x v="10"/>
    <s v="Saturday"/>
    <n v="107508.38399999999"/>
    <n v="16374.400000000005"/>
    <n v="12444.544000000004"/>
  </r>
  <r>
    <n v="1002"/>
    <d v="2023-10-20T00:00:00"/>
    <x v="1"/>
    <s v="North"/>
    <n v="5842.88"/>
    <n v="30"/>
    <s v="Clothing"/>
    <n v="4646.55"/>
    <n v="4784.28"/>
    <s v="Returning"/>
    <n v="0.1"/>
    <s v="Credit Card"/>
    <s v="Retail"/>
    <s v="North-David"/>
    <x v="7"/>
    <s v="Friday"/>
    <n v="125456.85"/>
    <n v="4131.8999999999869"/>
    <n v="3718.7099999999882"/>
  </r>
  <r>
    <n v="1003"/>
    <d v="2023-11-24T00:00:00"/>
    <x v="3"/>
    <s v="East"/>
    <n v="5215.3100000000004"/>
    <n v="11"/>
    <s v="Food"/>
    <n v="3706.78"/>
    <n v="3862.26"/>
    <s v="New"/>
    <n v="0.22"/>
    <s v="Credit Card"/>
    <s v="Retail"/>
    <s v="East-Eve"/>
    <x v="8"/>
    <s v="Friday"/>
    <n v="31804.172400000003"/>
    <n v="1710.2800000000002"/>
    <n v="1334.0184000000002"/>
  </r>
  <r>
    <n v="1056"/>
    <d v="2023-05-07T00:00:00"/>
    <x v="1"/>
    <s v="East"/>
    <n v="7611.88"/>
    <n v="28"/>
    <s v="Clothing"/>
    <n v="1566.03"/>
    <n v="1576.34"/>
    <s v="Returning"/>
    <n v="0.2"/>
    <s v="Bank Transfer"/>
    <s v="Online"/>
    <s v="East-David"/>
    <x v="10"/>
    <s v="Sunday"/>
    <n v="35079.072"/>
    <n v="288.67999999999847"/>
    <n v="230.94399999999879"/>
  </r>
  <r>
    <n v="1081"/>
    <d v="2023-04-16T00:00:00"/>
    <x v="2"/>
    <s v="West"/>
    <n v="2896.71"/>
    <n v="44"/>
    <s v="Electronics"/>
    <n v="1362.15"/>
    <n v="1844.07"/>
    <s v="New"/>
    <n v="0.28999999999999998"/>
    <s v="Credit Card"/>
    <s v="Online"/>
    <s v="West-Charlie"/>
    <x v="1"/>
    <s v="Sunday"/>
    <n v="42553.565999999999"/>
    <n v="21204.479999999992"/>
    <n v="15055.180799999995"/>
  </r>
  <r>
    <n v="1059"/>
    <d v="2023-04-02T00:00:00"/>
    <x v="3"/>
    <s v="West"/>
    <n v="3595.2"/>
    <n v="12"/>
    <s v="Food"/>
    <n v="3496.15"/>
    <n v="3955.75"/>
    <s v="Returning"/>
    <n v="0.28000000000000003"/>
    <s v="Cash"/>
    <s v="Retail"/>
    <s v="West-Eve"/>
    <x v="1"/>
    <s v="Sunday"/>
    <n v="30206.736000000001"/>
    <n v="5515.1999999999989"/>
    <n v="3970.9439999999991"/>
  </r>
  <r>
    <n v="1002"/>
    <d v="2023-10-14T00:00:00"/>
    <x v="1"/>
    <s v="South"/>
    <n v="8951.5300000000007"/>
    <n v="39"/>
    <s v="Clothing"/>
    <n v="1004.71"/>
    <n v="1389.35"/>
    <s v="New"/>
    <n v="0.24"/>
    <s v="Bank Transfer"/>
    <s v="Online"/>
    <s v="South-David"/>
    <x v="7"/>
    <s v="Saturday"/>
    <n v="29779.604400000004"/>
    <n v="15000.959999999995"/>
    <n v="11400.729599999997"/>
  </r>
  <r>
    <n v="1002"/>
    <d v="2023-02-20T00:00:00"/>
    <x v="2"/>
    <s v="West"/>
    <n v="9469.92"/>
    <n v="26"/>
    <s v="Food"/>
    <n v="508.94"/>
    <n v="557.69000000000005"/>
    <s v="New"/>
    <n v="0.22"/>
    <s v="Credit Card"/>
    <s v="Retail"/>
    <s v="West-Charlie"/>
    <x v="0"/>
    <s v="Monday"/>
    <n v="10321.3032"/>
    <n v="1267.5000000000014"/>
    <n v="988.65000000000111"/>
  </r>
  <r>
    <n v="1092"/>
    <d v="2023-01-29T00:00:00"/>
    <x v="0"/>
    <s v="South"/>
    <n v="8936.33"/>
    <n v="13"/>
    <s v="Clothing"/>
    <n v="2684.5"/>
    <n v="2913.78"/>
    <s v="New"/>
    <n v="0.08"/>
    <s v="Credit Card"/>
    <s v="Retail"/>
    <s v="South-Bob"/>
    <x v="5"/>
    <s v="Sunday"/>
    <n v="32106.620000000003"/>
    <n v="2980.6400000000026"/>
    <n v="2742.1888000000026"/>
  </r>
  <r>
    <n v="1054"/>
    <d v="2023-10-23T00:00:00"/>
    <x v="1"/>
    <s v="East"/>
    <n v="4252.54"/>
    <n v="8"/>
    <s v="Food"/>
    <n v="4117.13"/>
    <n v="4177.0600000000004"/>
    <s v="Returning"/>
    <n v="0.25"/>
    <s v="Bank Transfer"/>
    <s v="Retail"/>
    <s v="East-David"/>
    <x v="7"/>
    <s v="Monday"/>
    <n v="24702.78"/>
    <n v="479.44000000000233"/>
    <n v="359.58000000000175"/>
  </r>
  <r>
    <n v="1087"/>
    <d v="2023-10-24T00:00:00"/>
    <x v="0"/>
    <s v="East"/>
    <n v="7825.62"/>
    <n v="28"/>
    <s v="Clothing"/>
    <n v="551.83000000000004"/>
    <n v="569.63"/>
    <s v="New"/>
    <n v="0.13"/>
    <s v="Credit Card"/>
    <s v="Retail"/>
    <s v="East-Bob"/>
    <x v="7"/>
    <s v="Tuesday"/>
    <n v="13442.578800000001"/>
    <n v="498.39999999999873"/>
    <n v="433.60799999999887"/>
  </r>
  <r>
    <n v="1096"/>
    <d v="2023-08-02T00:00:00"/>
    <x v="0"/>
    <s v="North"/>
    <n v="4815.72"/>
    <n v="30"/>
    <s v="Electronics"/>
    <n v="3969.86"/>
    <n v="4281.79"/>
    <s v="Returning"/>
    <n v="0.08"/>
    <s v="Bank Transfer"/>
    <s v="Retail"/>
    <s v="North-Bob"/>
    <x v="3"/>
    <s v="Wednesday"/>
    <n v="109568.13600000001"/>
    <n v="9357.8999999999942"/>
    <n v="8609.2679999999946"/>
  </r>
  <r>
    <n v="1097"/>
    <d v="2023-09-24T00:00:00"/>
    <x v="4"/>
    <s v="East"/>
    <n v="5025.6400000000003"/>
    <n v="9"/>
    <s v="Food"/>
    <n v="4067.28"/>
    <n v="4548.09"/>
    <s v="Returning"/>
    <n v="0.12"/>
    <s v="Credit Card"/>
    <s v="Retail"/>
    <s v="East-Alice"/>
    <x v="2"/>
    <s v="Sunday"/>
    <n v="32212.857600000003"/>
    <n v="4327.2899999999991"/>
    <n v="3808.0151999999994"/>
  </r>
  <r>
    <n v="1001"/>
    <d v="2023-09-14T00:00:00"/>
    <x v="3"/>
    <s v="South"/>
    <n v="2126.33"/>
    <n v="39"/>
    <s v="Food"/>
    <n v="2437.2600000000002"/>
    <n v="2889.67"/>
    <s v="Returning"/>
    <n v="0.25"/>
    <s v="Cash"/>
    <s v="Online"/>
    <s v="South-Eve"/>
    <x v="2"/>
    <s v="Thursday"/>
    <n v="71289.85500000001"/>
    <n v="17643.989999999994"/>
    <n v="13232.992499999997"/>
  </r>
  <r>
    <n v="1019"/>
    <d v="2023-10-29T00:00:00"/>
    <x v="1"/>
    <s v="West"/>
    <n v="5952.19"/>
    <n v="31"/>
    <s v="Food"/>
    <n v="333.69"/>
    <n v="685.1"/>
    <s v="New"/>
    <n v="0.04"/>
    <s v="Bank Transfer"/>
    <s v="Online"/>
    <s v="West-David"/>
    <x v="7"/>
    <s v="Sunday"/>
    <n v="9930.6143999999986"/>
    <n v="10893.710000000001"/>
    <n v="10457.961600000001"/>
  </r>
  <r>
    <n v="1002"/>
    <d v="2023-04-11T00:00:00"/>
    <x v="0"/>
    <s v="North"/>
    <n v="1942.75"/>
    <n v="21"/>
    <s v="Food"/>
    <n v="914.22"/>
    <n v="971.57"/>
    <s v="Returning"/>
    <n v="0.14000000000000001"/>
    <s v="Cash"/>
    <s v="Online"/>
    <s v="North-Bob"/>
    <x v="1"/>
    <s v="Tuesday"/>
    <n v="16510.813200000001"/>
    <n v="1204.3500000000004"/>
    <n v="1035.7410000000002"/>
  </r>
  <r>
    <n v="1053"/>
    <d v="2023-12-12T00:00:00"/>
    <x v="4"/>
    <s v="South"/>
    <n v="3382.49"/>
    <n v="47"/>
    <s v="Electronics"/>
    <n v="3551.76"/>
    <n v="3696.1"/>
    <s v="Returning"/>
    <n v="0.15"/>
    <s v="Bank Transfer"/>
    <s v="Retail"/>
    <s v="South-Alice"/>
    <x v="9"/>
    <s v="Tuesday"/>
    <n v="141892.81200000001"/>
    <n v="6783.979999999985"/>
    <n v="5766.3829999999871"/>
  </r>
  <r>
    <n v="1044"/>
    <d v="2023-04-20T00:00:00"/>
    <x v="2"/>
    <s v="West"/>
    <n v="8564.7999999999993"/>
    <n v="34"/>
    <s v="Food"/>
    <n v="3573.3"/>
    <n v="3740.13"/>
    <s v="Returning"/>
    <n v="0.01"/>
    <s v="Credit Card"/>
    <s v="Online"/>
    <s v="West-Charlie"/>
    <x v="1"/>
    <s v="Thursday"/>
    <n v="120277.27800000001"/>
    <n v="5672.2199999999975"/>
    <n v="5615.4977999999974"/>
  </r>
  <r>
    <n v="1090"/>
    <d v="2023-07-01T00:00:00"/>
    <x v="1"/>
    <s v="North"/>
    <n v="2150.0500000000002"/>
    <n v="31"/>
    <s v="Furniture"/>
    <n v="4496.8599999999997"/>
    <n v="4880.7999999999902"/>
    <s v="New"/>
    <n v="0.06"/>
    <s v="Cash"/>
    <s v="Retail"/>
    <s v="North-David"/>
    <x v="11"/>
    <s v="Saturday"/>
    <n v="131038.50039999999"/>
    <n v="11902.139999999705"/>
    <n v="11188.011599999722"/>
  </r>
  <r>
    <n v="1032"/>
    <d v="2023-11-09T00:00:00"/>
    <x v="0"/>
    <s v="East"/>
    <n v="804.47"/>
    <n v="25"/>
    <s v="Electronics"/>
    <n v="2934.3"/>
    <n v="3337.4"/>
    <s v="Returning"/>
    <n v="0.25"/>
    <s v="Credit Card"/>
    <s v="Retail"/>
    <s v="East-Bob"/>
    <x v="8"/>
    <s v="Thursday"/>
    <n v="55018.125"/>
    <n v="10077.499999999998"/>
    <n v="7558.1249999999982"/>
  </r>
  <r>
    <n v="1070"/>
    <d v="2023-01-01T00:00:00"/>
    <x v="3"/>
    <s v="South"/>
    <n v="783.18"/>
    <n v="12"/>
    <s v="Furniture"/>
    <n v="664.33"/>
    <n v="863.03"/>
    <s v="Returning"/>
    <n v="0.25"/>
    <s v="Bank Transfer"/>
    <s v="Retail"/>
    <s v="South-Eve"/>
    <x v="5"/>
    <s v="Sunday"/>
    <n v="5978.9700000000012"/>
    <n v="2384.3999999999992"/>
    <n v="1788.2999999999993"/>
  </r>
  <r>
    <n v="1032"/>
    <d v="2023-11-15T00:00:00"/>
    <x v="4"/>
    <s v="West"/>
    <n v="9413.77"/>
    <n v="1"/>
    <s v="Food"/>
    <n v="651"/>
    <n v="865.76"/>
    <s v="Returning"/>
    <n v="0.09"/>
    <s v="Bank Transfer"/>
    <s v="Retail"/>
    <s v="West-Alice"/>
    <x v="8"/>
    <s v="Wednesday"/>
    <n v="592.41"/>
    <n v="214.76"/>
    <n v="195.4316"/>
  </r>
  <r>
    <n v="1068"/>
    <d v="2023-02-24T00:00:00"/>
    <x v="0"/>
    <s v="North"/>
    <n v="5118.51"/>
    <n v="22"/>
    <s v="Clothing"/>
    <n v="3619.61"/>
    <n v="3651.42"/>
    <s v="Returning"/>
    <n v="0.26"/>
    <s v="Bank Transfer"/>
    <s v="Online"/>
    <s v="North-Bob"/>
    <x v="0"/>
    <s v="Friday"/>
    <n v="58927.250800000002"/>
    <n v="699.8199999999988"/>
    <n v="517.8667999999991"/>
  </r>
  <r>
    <n v="1055"/>
    <d v="2023-05-29T00:00:00"/>
    <x v="3"/>
    <s v="North"/>
    <n v="4153.18"/>
    <n v="40"/>
    <s v="Furniture"/>
    <n v="959.73"/>
    <n v="1111.4100000000001"/>
    <s v="New"/>
    <n v="0.23"/>
    <s v="Bank Transfer"/>
    <s v="Online"/>
    <s v="North-Eve"/>
    <x v="10"/>
    <s v="Monday"/>
    <n v="29559.683999999997"/>
    <n v="6067.2000000000025"/>
    <n v="4671.7440000000024"/>
  </r>
  <r>
    <n v="1075"/>
    <d v="2023-11-05T00:00:00"/>
    <x v="0"/>
    <s v="East"/>
    <n v="8127.7"/>
    <n v="37"/>
    <s v="Food"/>
    <n v="1675.51"/>
    <n v="1906.6399999999901"/>
    <s v="New"/>
    <n v="0.13"/>
    <s v="Bank Transfer"/>
    <s v="Online"/>
    <s v="East-Bob"/>
    <x v="8"/>
    <s v="Sunday"/>
    <n v="53934.666900000004"/>
    <n v="8551.8099999996339"/>
    <n v="7440.0746999996818"/>
  </r>
  <r>
    <n v="1056"/>
    <d v="2023-05-17T00:00:00"/>
    <x v="1"/>
    <s v="West"/>
    <n v="8374.68"/>
    <n v="47"/>
    <s v="Furniture"/>
    <n v="2461.6999999999998"/>
    <n v="2529.02"/>
    <s v="Returning"/>
    <n v="0.22"/>
    <s v="Cash"/>
    <s v="Retail"/>
    <s v="West-David"/>
    <x v="10"/>
    <s v="Wednesday"/>
    <n v="90245.921999999991"/>
    <n v="3164.0400000000077"/>
    <n v="2467.9512000000059"/>
  </r>
  <r>
    <n v="1017"/>
    <d v="2023-07-21T00:00:00"/>
    <x v="1"/>
    <s v="East"/>
    <n v="3388.69"/>
    <n v="1"/>
    <s v="Food"/>
    <n v="172.59"/>
    <n v="404.69"/>
    <s v="Returning"/>
    <n v="0.28999999999999998"/>
    <s v="Bank Transfer"/>
    <s v="Online"/>
    <s v="East-David"/>
    <x v="11"/>
    <s v="Friday"/>
    <n v="122.5389"/>
    <n v="232.1"/>
    <n v="164.791"/>
  </r>
  <r>
    <n v="1038"/>
    <d v="2023-11-09T00:00:00"/>
    <x v="1"/>
    <s v="East"/>
    <n v="6966.82"/>
    <n v="1"/>
    <s v="Food"/>
    <n v="1281.6500000000001"/>
    <n v="1709.71"/>
    <s v="Returning"/>
    <n v="0.14000000000000001"/>
    <s v="Credit Card"/>
    <s v="Online"/>
    <s v="East-David"/>
    <x v="8"/>
    <s v="Thursday"/>
    <n v="1102.2190000000001"/>
    <n v="428.05999999999995"/>
    <n v="368.13159999999993"/>
  </r>
  <r>
    <n v="1024"/>
    <d v="2023-04-27T00:00:00"/>
    <x v="4"/>
    <s v="West"/>
    <n v="7734.12"/>
    <n v="42"/>
    <s v="Food"/>
    <n v="2069.0500000000002"/>
    <n v="2363.9"/>
    <s v="Returning"/>
    <n v="7.0000000000000007E-2"/>
    <s v="Cash"/>
    <s v="Online"/>
    <s v="West-Alice"/>
    <x v="1"/>
    <s v="Thursday"/>
    <n v="80817.092999999993"/>
    <n v="12383.699999999997"/>
    <n v="11516.840999999997"/>
  </r>
  <r>
    <n v="1069"/>
    <d v="2023-06-03T00:00:00"/>
    <x v="1"/>
    <s v="West"/>
    <n v="6581.04"/>
    <n v="42"/>
    <s v="Clothing"/>
    <n v="1434.2"/>
    <n v="1482.88"/>
    <s v="New"/>
    <n v="0.28000000000000003"/>
    <s v="Credit Card"/>
    <s v="Retail"/>
    <s v="West-David"/>
    <x v="6"/>
    <s v="Saturday"/>
    <n v="43370.207999999999"/>
    <n v="2044.5600000000027"/>
    <n v="1472.0832000000019"/>
  </r>
  <r>
    <n v="1098"/>
    <d v="2023-10-18T00:00:00"/>
    <x v="3"/>
    <s v="West"/>
    <n v="1600.79"/>
    <n v="21"/>
    <s v="Furniture"/>
    <n v="725.03"/>
    <n v="828.94999999999902"/>
    <s v="New"/>
    <n v="0.18"/>
    <s v="Bank Transfer"/>
    <s v="Online"/>
    <s v="West-Eve"/>
    <x v="7"/>
    <s v="Wednesday"/>
    <n v="12485.016600000001"/>
    <n v="2182.3199999999802"/>
    <n v="1789.5023999999839"/>
  </r>
  <r>
    <n v="1070"/>
    <d v="2023-03-04T00:00:00"/>
    <x v="0"/>
    <s v="South"/>
    <n v="8771.24"/>
    <n v="15"/>
    <s v="Electronics"/>
    <n v="3653.66"/>
    <n v="3896.19"/>
    <s v="New"/>
    <n v="0.03"/>
    <s v="Credit Card"/>
    <s v="Retail"/>
    <s v="South-Bob"/>
    <x v="4"/>
    <s v="Saturday"/>
    <n v="53160.75299999999"/>
    <n v="3637.950000000003"/>
    <n v="3528.811500000003"/>
  </r>
  <r>
    <n v="1086"/>
    <d v="2023-09-01T00:00:00"/>
    <x v="2"/>
    <s v="West"/>
    <n v="5437.04"/>
    <n v="17"/>
    <s v="Electronics"/>
    <n v="4075.08"/>
    <n v="4262.21"/>
    <s v="New"/>
    <n v="0.17"/>
    <s v="Cash"/>
    <s v="Online"/>
    <s v="West-Charlie"/>
    <x v="2"/>
    <s v="Friday"/>
    <n v="57499.378799999999"/>
    <n v="3181.2100000000019"/>
    <n v="2640.4043000000015"/>
  </r>
  <r>
    <n v="1011"/>
    <d v="2023-01-25T00:00:00"/>
    <x v="3"/>
    <s v="North"/>
    <n v="2896.48"/>
    <n v="22"/>
    <s v="Electronics"/>
    <n v="1324.52"/>
    <n v="1510.3"/>
    <s v="Returning"/>
    <n v="0.15"/>
    <s v="Cash"/>
    <s v="Retail"/>
    <s v="North-Eve"/>
    <x v="5"/>
    <s v="Wednesday"/>
    <n v="24768.523999999998"/>
    <n v="4087.1599999999994"/>
    <n v="3474.0859999999993"/>
  </r>
  <r>
    <n v="1016"/>
    <d v="2023-03-31T00:00:00"/>
    <x v="3"/>
    <s v="East"/>
    <n v="4309.76"/>
    <n v="38"/>
    <s v="Electronics"/>
    <n v="3883.38"/>
    <n v="4152.72"/>
    <s v="Returning"/>
    <n v="0.26"/>
    <s v="Cash"/>
    <s v="Online"/>
    <s v="East-Eve"/>
    <x v="4"/>
    <s v="Friday"/>
    <n v="109200.6456"/>
    <n v="10234.920000000006"/>
    <n v="7573.8408000000036"/>
  </r>
  <r>
    <n v="1097"/>
    <d v="2023-03-16T00:00:00"/>
    <x v="1"/>
    <s v="South"/>
    <n v="471.95"/>
    <n v="35"/>
    <s v="Food"/>
    <n v="1958.49"/>
    <n v="2254.84"/>
    <s v="New"/>
    <n v="0.16"/>
    <s v="Credit Card"/>
    <s v="Online"/>
    <s v="South-David"/>
    <x v="4"/>
    <s v="Thursday"/>
    <n v="57579.605999999992"/>
    <n v="10372.250000000005"/>
    <n v="8712.6900000000041"/>
  </r>
  <r>
    <n v="1073"/>
    <d v="2023-10-21T00:00:00"/>
    <x v="4"/>
    <s v="West"/>
    <n v="1365.88"/>
    <n v="45"/>
    <s v="Furniture"/>
    <n v="2558.09"/>
    <n v="2958.55"/>
    <s v="New"/>
    <n v="0.08"/>
    <s v="Cash"/>
    <s v="Online"/>
    <s v="West-Alice"/>
    <x v="7"/>
    <s v="Saturday"/>
    <n v="105904.92600000001"/>
    <n v="18020.7"/>
    <n v="16579.044000000002"/>
  </r>
  <r>
    <n v="1059"/>
    <d v="2023-07-29T00:00:00"/>
    <x v="0"/>
    <s v="South"/>
    <n v="7678.91"/>
    <n v="16"/>
    <s v="Furniture"/>
    <n v="4287.21"/>
    <n v="4464.28"/>
    <s v="Returning"/>
    <n v="0.2"/>
    <s v="Credit Card"/>
    <s v="Retail"/>
    <s v="South-Bob"/>
    <x v="11"/>
    <s v="Saturday"/>
    <n v="54876.288"/>
    <n v="2833.1199999999953"/>
    <n v="2266.4959999999965"/>
  </r>
  <r>
    <n v="1070"/>
    <d v="2023-12-13T00:00:00"/>
    <x v="4"/>
    <s v="West"/>
    <n v="100.12"/>
    <n v="8"/>
    <s v="Clothing"/>
    <n v="3762.27"/>
    <n v="4166.95"/>
    <s v="Returning"/>
    <n v="0.16"/>
    <s v="Bank Transfer"/>
    <s v="Online"/>
    <s v="West-Alice"/>
    <x v="9"/>
    <s v="Wednesday"/>
    <n v="25282.454399999999"/>
    <n v="3237.4399999999987"/>
    <n v="2719.449599999999"/>
  </r>
  <r>
    <n v="1080"/>
    <d v="2023-01-17T00:00:00"/>
    <x v="0"/>
    <s v="South"/>
    <n v="4224"/>
    <n v="47"/>
    <s v="Furniture"/>
    <n v="4035.33"/>
    <n v="4211.25"/>
    <s v="Returning"/>
    <n v="7.0000000000000007E-2"/>
    <s v="Bank Transfer"/>
    <s v="Online"/>
    <s v="South-Bob"/>
    <x v="5"/>
    <s v="Tuesday"/>
    <n v="176384.27429999999"/>
    <n v="8268.2400000000034"/>
    <n v="7689.4632000000029"/>
  </r>
  <r>
    <n v="1093"/>
    <d v="2023-05-08T00:00:00"/>
    <x v="0"/>
    <s v="East"/>
    <n v="5272.85"/>
    <n v="17"/>
    <s v="Furniture"/>
    <n v="727.38"/>
    <n v="764.54"/>
    <s v="Returning"/>
    <n v="0.17"/>
    <s v="Credit Card"/>
    <s v="Retail"/>
    <s v="East-Bob"/>
    <x v="10"/>
    <s v="Monday"/>
    <n v="10263.331799999998"/>
    <n v="631.71999999999946"/>
    <n v="524.32759999999951"/>
  </r>
  <r>
    <n v="1003"/>
    <d v="2023-12-30T00:00:00"/>
    <x v="4"/>
    <s v="East"/>
    <n v="640.88"/>
    <n v="17"/>
    <s v="Furniture"/>
    <n v="395.11"/>
    <n v="676.66"/>
    <s v="Returning"/>
    <n v="0.25"/>
    <s v="Cash"/>
    <s v="Retail"/>
    <s v="East-Alice"/>
    <x v="9"/>
    <s v="Saturday"/>
    <n v="5037.6525000000001"/>
    <n v="4786.3499999999995"/>
    <n v="3589.7624999999998"/>
  </r>
  <r>
    <n v="1020"/>
    <d v="2023-09-08T00:00:00"/>
    <x v="3"/>
    <s v="North"/>
    <n v="9733.4699999999993"/>
    <n v="26"/>
    <s v="Clothing"/>
    <n v="4472.3500000000004"/>
    <n v="4770.42"/>
    <s v="New"/>
    <n v="0.01"/>
    <s v="Credit Card"/>
    <s v="Retail"/>
    <s v="North-Eve"/>
    <x v="2"/>
    <s v="Friday"/>
    <n v="115118.289"/>
    <n v="7749.8199999999924"/>
    <n v="7672.3217999999924"/>
  </r>
  <r>
    <n v="1059"/>
    <d v="2023-06-28T00:00:00"/>
    <x v="0"/>
    <s v="North"/>
    <n v="2338.64"/>
    <n v="13"/>
    <s v="Electronics"/>
    <n v="1969.78"/>
    <n v="2437.6999999999998"/>
    <s v="New"/>
    <n v="0.19"/>
    <s v="Credit Card"/>
    <s v="Retail"/>
    <s v="North-Bob"/>
    <x v="6"/>
    <s v="Wednesday"/>
    <n v="20741.7834"/>
    <n v="6082.9599999999982"/>
    <n v="4927.1975999999986"/>
  </r>
  <r>
    <n v="1036"/>
    <d v="2023-07-01T00:00:00"/>
    <x v="4"/>
    <s v="West"/>
    <n v="3111.57"/>
    <n v="17"/>
    <s v="Furniture"/>
    <n v="1475"/>
    <n v="1840.77"/>
    <s v="Returning"/>
    <n v="0.1"/>
    <s v="Credit Card"/>
    <s v="Online"/>
    <s v="West-Alice"/>
    <x v="11"/>
    <s v="Saturday"/>
    <n v="22567.5"/>
    <n v="6218.09"/>
    <n v="5596.2809999999999"/>
  </r>
  <r>
    <n v="1019"/>
    <d v="2023-06-01T00:00:00"/>
    <x v="0"/>
    <s v="East"/>
    <n v="3109.03"/>
    <n v="38"/>
    <s v="Clothing"/>
    <n v="3637.25"/>
    <n v="4096.96"/>
    <s v="Returning"/>
    <n v="0.09"/>
    <s v="Bank Transfer"/>
    <s v="Online"/>
    <s v="East-Bob"/>
    <x v="6"/>
    <s v="Thursday"/>
    <n v="125776.10500000001"/>
    <n v="17468.980000000003"/>
    <n v="15896.771800000004"/>
  </r>
  <r>
    <n v="1090"/>
    <d v="2023-01-25T00:00:00"/>
    <x v="2"/>
    <s v="South"/>
    <n v="2381.12"/>
    <n v="17"/>
    <s v="Clothing"/>
    <n v="4190.26"/>
    <n v="4645.3500000000004"/>
    <s v="New"/>
    <n v="0.12"/>
    <s v="Credit Card"/>
    <s v="Retail"/>
    <s v="South-Charlie"/>
    <x v="5"/>
    <s v="Wednesday"/>
    <n v="62686.289599999996"/>
    <n v="7736.5300000000025"/>
    <n v="6808.1464000000024"/>
  </r>
  <r>
    <n v="1067"/>
    <d v="2023-06-29T00:00:00"/>
    <x v="3"/>
    <s v="South"/>
    <n v="114.59"/>
    <n v="48"/>
    <s v="Food"/>
    <n v="4319.32"/>
    <n v="4625.5599999999904"/>
    <s v="Returning"/>
    <n v="0.1"/>
    <s v="Bank Transfer"/>
    <s v="Online"/>
    <s v="South-Eve"/>
    <x v="6"/>
    <s v="Thursday"/>
    <n v="186594.62399999998"/>
    <n v="14699.519999999553"/>
    <n v="13229.567999999597"/>
  </r>
  <r>
    <n v="1019"/>
    <d v="2023-07-17T00:00:00"/>
    <x v="1"/>
    <s v="South"/>
    <n v="7320.51"/>
    <n v="14"/>
    <s v="Clothing"/>
    <n v="1614.19"/>
    <n v="1882.79"/>
    <s v="New"/>
    <n v="0.25"/>
    <s v="Credit Card"/>
    <s v="Retail"/>
    <s v="South-David"/>
    <x v="11"/>
    <s v="Monday"/>
    <n v="16948.994999999999"/>
    <n v="3760.3999999999987"/>
    <n v="2820.2999999999993"/>
  </r>
  <r>
    <n v="1020"/>
    <d v="2023-12-10T00:00:00"/>
    <x v="0"/>
    <s v="North"/>
    <n v="9671.77"/>
    <n v="45"/>
    <s v="Electronics"/>
    <n v="4268.45"/>
    <n v="4551.5999999999904"/>
    <s v="New"/>
    <n v="0.08"/>
    <s v="Bank Transfer"/>
    <s v="Online"/>
    <s v="North-Bob"/>
    <x v="9"/>
    <s v="Sunday"/>
    <n v="176713.83000000002"/>
    <n v="12741.749999999574"/>
    <n v="11722.409999999609"/>
  </r>
  <r>
    <n v="1096"/>
    <d v="2023-06-10T00:00:00"/>
    <x v="2"/>
    <s v="South"/>
    <n v="2320.5100000000002"/>
    <n v="6"/>
    <s v="Furniture"/>
    <n v="252.62"/>
    <n v="742"/>
    <s v="New"/>
    <n v="0.22"/>
    <s v="Credit Card"/>
    <s v="Retail"/>
    <s v="South-Charlie"/>
    <x v="6"/>
    <s v="Saturday"/>
    <n v="1182.2616"/>
    <n v="2936.2799999999997"/>
    <n v="2290.2983999999997"/>
  </r>
  <r>
    <n v="1071"/>
    <d v="2023-06-26T00:00:00"/>
    <x v="1"/>
    <s v="North"/>
    <n v="6664.17"/>
    <n v="35"/>
    <s v="Clothing"/>
    <n v="295.82"/>
    <n v="684.67"/>
    <s v="New"/>
    <n v="0.03"/>
    <s v="Credit Card"/>
    <s v="Online"/>
    <s v="North-David"/>
    <x v="6"/>
    <s v="Monday"/>
    <n v="10043.088999999998"/>
    <n v="13609.749999999998"/>
    <n v="13201.457499999999"/>
  </r>
  <r>
    <n v="1052"/>
    <d v="2023-10-12T00:00:00"/>
    <x v="1"/>
    <s v="North"/>
    <n v="7444.77"/>
    <n v="46"/>
    <s v="Electronics"/>
    <n v="3136.42"/>
    <n v="3198.49"/>
    <s v="Returning"/>
    <n v="0.28999999999999998"/>
    <s v="Cash"/>
    <s v="Retail"/>
    <s v="North-David"/>
    <x v="7"/>
    <s v="Thursday"/>
    <n v="102435.47719999999"/>
    <n v="2855.2199999999866"/>
    <n v="2027.2061999999903"/>
  </r>
  <r>
    <n v="1033"/>
    <d v="2023-03-04T00:00:00"/>
    <x v="0"/>
    <s v="West"/>
    <n v="8499.41"/>
    <n v="14"/>
    <s v="Clothing"/>
    <n v="362.38"/>
    <n v="753.81"/>
    <s v="Returning"/>
    <n v="0.19"/>
    <s v="Cash"/>
    <s v="Retail"/>
    <s v="West-Bob"/>
    <x v="4"/>
    <s v="Saturday"/>
    <n v="4109.3891999999996"/>
    <n v="5480.0199999999995"/>
    <n v="4438.8162000000002"/>
  </r>
  <r>
    <n v="1040"/>
    <d v="2023-05-30T00:00:00"/>
    <x v="4"/>
    <s v="South"/>
    <n v="4284.03"/>
    <n v="47"/>
    <s v="Clothing"/>
    <n v="1656.82"/>
    <n v="1750.3799999999901"/>
    <s v="New"/>
    <n v="0.21"/>
    <s v="Credit Card"/>
    <s v="Online"/>
    <s v="South-Alice"/>
    <x v="10"/>
    <s v="Tuesday"/>
    <n v="61517.726599999995"/>
    <n v="4397.3199999995377"/>
    <n v="3473.8827999996352"/>
  </r>
  <r>
    <n v="1039"/>
    <d v="2023-06-03T00:00:00"/>
    <x v="0"/>
    <s v="South"/>
    <n v="3099.02"/>
    <n v="8"/>
    <s v="Clothing"/>
    <n v="3380.14"/>
    <n v="3609.3399999999901"/>
    <s v="Returning"/>
    <n v="0.09"/>
    <s v="Credit Card"/>
    <s v="Online"/>
    <s v="South-Bob"/>
    <x v="6"/>
    <s v="Saturday"/>
    <n v="24607.4192"/>
    <n v="1833.5999999999221"/>
    <n v="1668.5759999999293"/>
  </r>
  <r>
    <n v="1082"/>
    <d v="2023-06-05T00:00:00"/>
    <x v="2"/>
    <s v="East"/>
    <n v="3320.42"/>
    <n v="15"/>
    <s v="Clothing"/>
    <n v="1719.47"/>
    <n v="1832.6"/>
    <s v="Returning"/>
    <n v="0.12"/>
    <s v="Credit Card"/>
    <s v="Online"/>
    <s v="East-Charlie"/>
    <x v="6"/>
    <s v="Monday"/>
    <n v="22697.004000000001"/>
    <n v="1696.9499999999982"/>
    <n v="1493.3159999999984"/>
  </r>
  <r>
    <n v="1001"/>
    <d v="2023-02-18T00:00:00"/>
    <x v="1"/>
    <s v="West"/>
    <n v="7154.95"/>
    <n v="27"/>
    <s v="Clothing"/>
    <n v="939.02"/>
    <n v="1286.92"/>
    <s v="Returning"/>
    <n v="7.0000000000000007E-2"/>
    <s v="Credit Card"/>
    <s v="Retail"/>
    <s v="West-David"/>
    <x v="0"/>
    <s v="Saturday"/>
    <n v="23578.7922"/>
    <n v="9393.3000000000029"/>
    <n v="8735.7690000000021"/>
  </r>
  <r>
    <n v="1011"/>
    <d v="2023-12-03T00:00:00"/>
    <x v="0"/>
    <s v="East"/>
    <n v="8186.12"/>
    <n v="13"/>
    <s v="Electronics"/>
    <n v="1442.69"/>
    <n v="1882.57"/>
    <s v="Returning"/>
    <n v="0.28000000000000003"/>
    <s v="Cash"/>
    <s v="Online"/>
    <s v="East-Bob"/>
    <x v="9"/>
    <s v="Sunday"/>
    <n v="13503.5784"/>
    <n v="5718.4399999999987"/>
    <n v="4117.2767999999987"/>
  </r>
  <r>
    <n v="1092"/>
    <d v="2023-03-25T00:00:00"/>
    <x v="4"/>
    <s v="West"/>
    <n v="1897.98"/>
    <n v="49"/>
    <s v="Furniture"/>
    <n v="2315"/>
    <n v="2467.2800000000002"/>
    <s v="New"/>
    <n v="0.15"/>
    <s v="Bank Transfer"/>
    <s v="Retail"/>
    <s v="West-Alice"/>
    <x v="4"/>
    <s v="Saturday"/>
    <n v="96419.75"/>
    <n v="7461.7200000000103"/>
    <n v="6342.4620000000086"/>
  </r>
  <r>
    <n v="1057"/>
    <d v="2023-12-27T00:00:00"/>
    <x v="0"/>
    <s v="South"/>
    <n v="3772.32"/>
    <n v="31"/>
    <s v="Furniture"/>
    <n v="2403.16"/>
    <n v="2453.35"/>
    <s v="Returning"/>
    <n v="0.19"/>
    <s v="Credit Card"/>
    <s v="Online"/>
    <s v="South-Bob"/>
    <x v="9"/>
    <s v="Wednesday"/>
    <n v="60343.347600000001"/>
    <n v="1555.8900000000017"/>
    <n v="1260.2709000000013"/>
  </r>
  <r>
    <n v="1089"/>
    <d v="2023-06-26T00:00:00"/>
    <x v="3"/>
    <s v="North"/>
    <n v="9029.2099999999991"/>
    <n v="35"/>
    <s v="Furniture"/>
    <n v="3925.85"/>
    <n v="4082.1099999999901"/>
    <s v="New"/>
    <n v="0.22"/>
    <s v="Cash"/>
    <s v="Online"/>
    <s v="North-Eve"/>
    <x v="6"/>
    <s v="Monday"/>
    <n v="107175.705"/>
    <n v="5469.0999999996575"/>
    <n v="4265.8979999997327"/>
  </r>
  <r>
    <n v="1050"/>
    <d v="2023-05-28T00:00:00"/>
    <x v="4"/>
    <s v="North"/>
    <n v="8086.27"/>
    <n v="6"/>
    <s v="Furniture"/>
    <n v="3763.26"/>
    <n v="4102.72"/>
    <s v="New"/>
    <n v="0.11"/>
    <s v="Credit Card"/>
    <s v="Retail"/>
    <s v="North-Alice"/>
    <x v="10"/>
    <s v="Sunday"/>
    <n v="20095.808400000002"/>
    <n v="2036.7600000000002"/>
    <n v="1812.7164000000002"/>
  </r>
  <r>
    <n v="1023"/>
    <d v="2023-04-28T00:00:00"/>
    <x v="2"/>
    <s v="North"/>
    <n v="9850.1"/>
    <n v="5"/>
    <s v="Electronics"/>
    <n v="2311.25"/>
    <n v="2482.34"/>
    <s v="Returning"/>
    <n v="0.22"/>
    <s v="Credit Card"/>
    <s v="Retail"/>
    <s v="North-Charlie"/>
    <x v="1"/>
    <s v="Friday"/>
    <n v="9013.875"/>
    <n v="855.45000000000073"/>
    <n v="667.25100000000054"/>
  </r>
  <r>
    <n v="1031"/>
    <d v="2023-12-08T00:00:00"/>
    <x v="1"/>
    <s v="North"/>
    <n v="7567.06"/>
    <n v="22"/>
    <s v="Food"/>
    <n v="4236.05"/>
    <n v="4382.32"/>
    <s v="New"/>
    <n v="0.2"/>
    <s v="Bank Transfer"/>
    <s v="Online"/>
    <s v="North-David"/>
    <x v="9"/>
    <s v="Friday"/>
    <n v="74554.48000000001"/>
    <n v="3217.9399999999896"/>
    <n v="2574.3519999999917"/>
  </r>
  <r>
    <n v="1094"/>
    <d v="2023-03-04T00:00:00"/>
    <x v="0"/>
    <s v="North"/>
    <n v="3992.63"/>
    <n v="49"/>
    <s v="Food"/>
    <n v="615.47"/>
    <n v="715.84"/>
    <s v="Returning"/>
    <n v="0.21"/>
    <s v="Credit Card"/>
    <s v="Retail"/>
    <s v="North-Bob"/>
    <x v="4"/>
    <s v="Saturday"/>
    <n v="23824.843700000001"/>
    <n v="4918.13"/>
    <n v="3885.3227000000002"/>
  </r>
  <r>
    <n v="1042"/>
    <d v="2023-07-08T00:00:00"/>
    <x v="4"/>
    <s v="East"/>
    <n v="5947.31"/>
    <n v="23"/>
    <s v="Electronics"/>
    <n v="1314"/>
    <n v="1567.78"/>
    <s v="Returning"/>
    <n v="0.15"/>
    <s v="Credit Card"/>
    <s v="Retail"/>
    <s v="East-Alice"/>
    <x v="11"/>
    <s v="Saturday"/>
    <n v="25688.7"/>
    <n v="5836.94"/>
    <n v="4961.3989999999994"/>
  </r>
  <r>
    <n v="1099"/>
    <d v="2023-12-26T00:00:00"/>
    <x v="3"/>
    <s v="West"/>
    <n v="6644.04"/>
    <n v="25"/>
    <s v="Electronics"/>
    <n v="4148.4799999999996"/>
    <n v="4293.6899999999996"/>
    <s v="New"/>
    <n v="0.11"/>
    <s v="Bank Transfer"/>
    <s v="Online"/>
    <s v="West-Eve"/>
    <x v="9"/>
    <s v="Tuesday"/>
    <n v="92303.679999999993"/>
    <n v="3630.2500000000009"/>
    <n v="3230.922500000001"/>
  </r>
  <r>
    <n v="1007"/>
    <d v="2023-02-18T00:00:00"/>
    <x v="4"/>
    <s v="South"/>
    <n v="876.71"/>
    <n v="34"/>
    <s v="Clothing"/>
    <n v="1921.07"/>
    <n v="2289.27"/>
    <s v="Returning"/>
    <n v="7.0000000000000007E-2"/>
    <s v="Bank Transfer"/>
    <s v="Retail"/>
    <s v="South-Alice"/>
    <x v="0"/>
    <s v="Saturday"/>
    <n v="60744.23339999999"/>
    <n v="12518.800000000001"/>
    <n v="11642.484"/>
  </r>
  <r>
    <n v="1016"/>
    <d v="2023-11-23T00:00:00"/>
    <x v="3"/>
    <s v="East"/>
    <n v="5490.52"/>
    <n v="26"/>
    <s v="Clothing"/>
    <n v="4906.8500000000004"/>
    <n v="4954.3900000000003"/>
    <s v="New"/>
    <n v="0.25"/>
    <s v="Bank Transfer"/>
    <s v="Online"/>
    <s v="East-Eve"/>
    <x v="8"/>
    <s v="Thursday"/>
    <n v="95683.575000000012"/>
    <n v="1236.0399999999991"/>
    <n v="927.02999999999929"/>
  </r>
  <r>
    <n v="1090"/>
    <d v="2023-09-14T00:00:00"/>
    <x v="2"/>
    <s v="West"/>
    <n v="7122.28"/>
    <n v="47"/>
    <s v="Clothing"/>
    <n v="2357.9499999999998"/>
    <n v="2693.33"/>
    <s v="New"/>
    <n v="0.18"/>
    <s v="Bank Transfer"/>
    <s v="Online"/>
    <s v="West-Charlie"/>
    <x v="2"/>
    <s v="Thursday"/>
    <n v="90875.392999999996"/>
    <n v="15762.860000000004"/>
    <n v="12925.545200000004"/>
  </r>
  <r>
    <n v="1060"/>
    <d v="2023-08-12T00:00:00"/>
    <x v="1"/>
    <s v="North"/>
    <n v="1756.48"/>
    <n v="5"/>
    <s v="Furniture"/>
    <n v="3970.08"/>
    <n v="4096.4799999999996"/>
    <s v="Returning"/>
    <n v="0.13"/>
    <s v="Cash"/>
    <s v="Retail"/>
    <s v="North-David"/>
    <x v="3"/>
    <s v="Saturday"/>
    <n v="17269.848000000002"/>
    <n v="631.99999999999818"/>
    <n v="549.83999999999844"/>
  </r>
  <r>
    <n v="1002"/>
    <d v="2023-05-21T00:00:00"/>
    <x v="2"/>
    <s v="West"/>
    <n v="7828.25"/>
    <n v="26"/>
    <s v="Clothing"/>
    <n v="2041.42"/>
    <n v="2291.17"/>
    <s v="Returning"/>
    <n v="0.28000000000000003"/>
    <s v="Cash"/>
    <s v="Online"/>
    <s v="West-Charlie"/>
    <x v="10"/>
    <s v="Sunday"/>
    <n v="38215.382399999995"/>
    <n v="6493.5"/>
    <n v="4675.32"/>
  </r>
  <r>
    <n v="1001"/>
    <d v="2023-08-03T00:00:00"/>
    <x v="0"/>
    <s v="West"/>
    <n v="5879.35"/>
    <n v="20"/>
    <s v="Food"/>
    <n v="2153.52"/>
    <n v="2303.6999999999998"/>
    <s v="Returning"/>
    <n v="0.01"/>
    <s v="Cash"/>
    <s v="Retail"/>
    <s v="West-Bob"/>
    <x v="3"/>
    <s v="Thursday"/>
    <n v="42639.696000000004"/>
    <n v="3003.5999999999967"/>
    <n v="2973.5639999999967"/>
  </r>
  <r>
    <n v="1048"/>
    <d v="2023-07-30T00:00:00"/>
    <x v="4"/>
    <s v="North"/>
    <n v="9527"/>
    <n v="6"/>
    <s v="Furniture"/>
    <n v="1945.27"/>
    <n v="2309.4299999999998"/>
    <s v="New"/>
    <n v="0.26"/>
    <s v="Credit Card"/>
    <s v="Online"/>
    <s v="North-Alice"/>
    <x v="11"/>
    <s v="Sunday"/>
    <n v="8636.9987999999994"/>
    <n v="2184.9599999999991"/>
    <n v="1616.8703999999993"/>
  </r>
  <r>
    <n v="1012"/>
    <d v="2023-11-14T00:00:00"/>
    <x v="3"/>
    <s v="North"/>
    <n v="519.98"/>
    <n v="6"/>
    <s v="Clothing"/>
    <n v="3609.42"/>
    <n v="4082.62"/>
    <s v="Returning"/>
    <n v="0.3"/>
    <s v="Bank Transfer"/>
    <s v="Retail"/>
    <s v="North-Eve"/>
    <x v="8"/>
    <s v="Tuesday"/>
    <n v="15159.563999999998"/>
    <n v="2839.1999999999989"/>
    <n v="1987.4399999999991"/>
  </r>
  <r>
    <n v="1069"/>
    <d v="2023-02-01T00:00:00"/>
    <x v="3"/>
    <s v="North"/>
    <n v="2726.73"/>
    <n v="18"/>
    <s v="Furniture"/>
    <n v="2760.21"/>
    <n v="3219.58"/>
    <s v="New"/>
    <n v="0.27"/>
    <s v="Bank Transfer"/>
    <s v="Retail"/>
    <s v="North-Eve"/>
    <x v="0"/>
    <s v="Wednesday"/>
    <n v="36269.159399999997"/>
    <n v="8268.659999999998"/>
    <n v="6036.1217999999981"/>
  </r>
  <r>
    <n v="1037"/>
    <d v="2023-06-07T00:00:00"/>
    <x v="4"/>
    <s v="South"/>
    <n v="6055.38"/>
    <n v="4"/>
    <s v="Food"/>
    <n v="4721.7"/>
    <n v="5017.58"/>
    <s v="New"/>
    <n v="0.24"/>
    <s v="Cash"/>
    <s v="Retail"/>
    <s v="South-Alice"/>
    <x v="6"/>
    <s v="Wednesday"/>
    <n v="14353.967999999999"/>
    <n v="1183.5200000000004"/>
    <n v="899.47520000000031"/>
  </r>
  <r>
    <n v="1032"/>
    <d v="2023-10-12T00:00:00"/>
    <x v="4"/>
    <s v="North"/>
    <n v="3035.94"/>
    <n v="17"/>
    <s v="Clothing"/>
    <n v="1291.9100000000001"/>
    <n v="1528.59"/>
    <s v="Returning"/>
    <n v="0.11"/>
    <s v="Credit Card"/>
    <s v="Retail"/>
    <s v="North-Alice"/>
    <x v="7"/>
    <s v="Thursday"/>
    <n v="19546.598300000001"/>
    <n v="4023.5599999999972"/>
    <n v="3580.9683999999975"/>
  </r>
  <r>
    <n v="1009"/>
    <d v="2023-11-01T00:00:00"/>
    <x v="0"/>
    <s v="South"/>
    <n v="7172.8"/>
    <n v="14"/>
    <s v="Food"/>
    <n v="547.79"/>
    <n v="958.76"/>
    <s v="Returning"/>
    <n v="7.0000000000000007E-2"/>
    <s v="Credit Card"/>
    <s v="Retail"/>
    <s v="South-Bob"/>
    <x v="8"/>
    <s v="Wednesday"/>
    <n v="7132.2257999999993"/>
    <n v="5753.58"/>
    <n v="5350.8293999999996"/>
  </r>
  <r>
    <n v="1099"/>
    <d v="2023-10-13T00:00:00"/>
    <x v="2"/>
    <s v="North"/>
    <n v="7614.15"/>
    <n v="14"/>
    <s v="Food"/>
    <n v="1996.64"/>
    <n v="2341.4699999999998"/>
    <s v="Returning"/>
    <n v="0.22"/>
    <s v="Credit Card"/>
    <s v="Online"/>
    <s v="North-Charlie"/>
    <x v="7"/>
    <s v="Friday"/>
    <n v="21803.308800000003"/>
    <n v="4827.6199999999953"/>
    <n v="3765.5435999999963"/>
  </r>
  <r>
    <n v="1019"/>
    <d v="2023-05-24T00:00:00"/>
    <x v="3"/>
    <s v="South"/>
    <n v="1114.9100000000001"/>
    <n v="13"/>
    <s v="Food"/>
    <n v="3102.73"/>
    <n v="3202.68"/>
    <s v="New"/>
    <n v="0.09"/>
    <s v="Cash"/>
    <s v="Online"/>
    <s v="South-Eve"/>
    <x v="10"/>
    <s v="Wednesday"/>
    <n v="36705.295899999997"/>
    <n v="1299.3499999999976"/>
    <n v="1182.408499999998"/>
  </r>
  <r>
    <n v="1048"/>
    <d v="2023-01-19T00:00:00"/>
    <x v="0"/>
    <s v="West"/>
    <n v="5187.16"/>
    <n v="7"/>
    <s v="Clothing"/>
    <n v="4310.95"/>
    <n v="4723.2"/>
    <s v="Returning"/>
    <n v="0.05"/>
    <s v="Credit Card"/>
    <s v="Retail"/>
    <s v="West-Bob"/>
    <x v="5"/>
    <s v="Thursday"/>
    <n v="28667.817499999997"/>
    <n v="2885.75"/>
    <n v="2741.4625000000001"/>
  </r>
  <r>
    <n v="1080"/>
    <d v="2023-01-18T00:00:00"/>
    <x v="2"/>
    <s v="East"/>
    <n v="5138.0200000000004"/>
    <n v="44"/>
    <s v="Electronics"/>
    <n v="1763.67"/>
    <n v="1983.82"/>
    <s v="New"/>
    <n v="0.24"/>
    <s v="Credit Card"/>
    <s v="Online"/>
    <s v="East-Charlie"/>
    <x v="5"/>
    <s v="Wednesday"/>
    <n v="58977.124800000005"/>
    <n v="9686.5999999999949"/>
    <n v="7361.8159999999962"/>
  </r>
  <r>
    <n v="1003"/>
    <d v="2023-09-14T00:00:00"/>
    <x v="0"/>
    <s v="West"/>
    <n v="3755.88"/>
    <n v="15"/>
    <s v="Clothing"/>
    <n v="3286.24"/>
    <n v="3388.8399999999901"/>
    <s v="Returning"/>
    <n v="0.09"/>
    <s v="Credit Card"/>
    <s v="Retail"/>
    <s v="West-Bob"/>
    <x v="2"/>
    <s v="Thursday"/>
    <n v="44857.175999999999"/>
    <n v="1538.9999999998554"/>
    <n v="1400.4899999998684"/>
  </r>
  <r>
    <n v="1020"/>
    <d v="2023-03-19T00:00:00"/>
    <x v="3"/>
    <s v="West"/>
    <n v="9335.9599999999991"/>
    <n v="19"/>
    <s v="Food"/>
    <n v="1783.48"/>
    <n v="1931.56"/>
    <s v="Returning"/>
    <n v="0.27"/>
    <s v="Bank Transfer"/>
    <s v="Retail"/>
    <s v="West-Eve"/>
    <x v="4"/>
    <s v="Sunday"/>
    <n v="24736.867600000001"/>
    <n v="2813.5199999999986"/>
    <n v="2053.8695999999991"/>
  </r>
  <r>
    <n v="1024"/>
    <d v="2023-06-24T00:00:00"/>
    <x v="4"/>
    <s v="North"/>
    <n v="8292.31"/>
    <n v="43"/>
    <s v="Clothing"/>
    <n v="3105.24"/>
    <n v="3246.33"/>
    <s v="New"/>
    <n v="0.25"/>
    <s v="Cash"/>
    <s v="Online"/>
    <s v="North-Alice"/>
    <x v="6"/>
    <s v="Saturday"/>
    <n v="100143.98999999999"/>
    <n v="6066.8700000000063"/>
    <n v="4550.1525000000047"/>
  </r>
  <r>
    <n v="1054"/>
    <d v="2023-07-13T00:00:00"/>
    <x v="4"/>
    <s v="South"/>
    <n v="7002.37"/>
    <n v="47"/>
    <s v="Food"/>
    <n v="4429.8"/>
    <n v="4694.21"/>
    <s v="New"/>
    <n v="0.25"/>
    <s v="Bank Transfer"/>
    <s v="Online"/>
    <s v="South-Alice"/>
    <x v="11"/>
    <s v="Thursday"/>
    <n v="156150.45000000001"/>
    <n v="12427.269999999993"/>
    <n v="9320.4524999999958"/>
  </r>
  <r>
    <n v="1033"/>
    <d v="2023-04-23T00:00:00"/>
    <x v="2"/>
    <s v="East"/>
    <n v="7171.83"/>
    <n v="44"/>
    <s v="Electronics"/>
    <n v="1195.22"/>
    <n v="1320.06"/>
    <s v="Returning"/>
    <n v="0.23"/>
    <s v="Bank Transfer"/>
    <s v="Retail"/>
    <s v="East-Charlie"/>
    <x v="1"/>
    <s v="Sunday"/>
    <n v="40494.053599999999"/>
    <n v="5492.9599999999964"/>
    <n v="4229.5791999999974"/>
  </r>
  <r>
    <n v="1024"/>
    <d v="2023-04-24T00:00:00"/>
    <x v="1"/>
    <s v="North"/>
    <n v="4670.99"/>
    <n v="35"/>
    <s v="Furniture"/>
    <n v="2051"/>
    <n v="2121.5500000000002"/>
    <s v="Returning"/>
    <n v="0.26"/>
    <s v="Cash"/>
    <s v="Retail"/>
    <s v="North-David"/>
    <x v="1"/>
    <s v="Monday"/>
    <n v="53120.9"/>
    <n v="2469.2500000000064"/>
    <n v="1827.2450000000047"/>
  </r>
  <r>
    <n v="1075"/>
    <d v="2023-08-10T00:00:00"/>
    <x v="2"/>
    <s v="North"/>
    <n v="9217.85"/>
    <n v="17"/>
    <s v="Electronics"/>
    <n v="4966.66"/>
    <n v="5037.2699999999904"/>
    <s v="Returning"/>
    <n v="0.24"/>
    <s v="Bank Transfer"/>
    <s v="Retail"/>
    <s v="North-Charlie"/>
    <x v="3"/>
    <s v="Thursday"/>
    <n v="64169.247200000005"/>
    <n v="1200.3699999998398"/>
    <n v="912.28119999987825"/>
  </r>
  <r>
    <n v="1072"/>
    <d v="2023-06-15T00:00:00"/>
    <x v="1"/>
    <s v="North"/>
    <n v="6976.49"/>
    <n v="35"/>
    <s v="Electronics"/>
    <n v="4349.3599999999997"/>
    <n v="4645.17"/>
    <s v="Returning"/>
    <n v="0.18"/>
    <s v="Credit Card"/>
    <s v="Retail"/>
    <s v="North-David"/>
    <x v="6"/>
    <s v="Thursday"/>
    <n v="124826.63199999998"/>
    <n v="10353.350000000013"/>
    <n v="8489.7470000000121"/>
  </r>
  <r>
    <n v="1036"/>
    <d v="2023-11-15T00:00:00"/>
    <x v="0"/>
    <s v="West"/>
    <n v="7316.91"/>
    <n v="19"/>
    <s v="Furniture"/>
    <n v="2844.97"/>
    <n v="3215"/>
    <s v="Returning"/>
    <n v="0.09"/>
    <s v="Credit Card"/>
    <s v="Retail"/>
    <s v="West-Bob"/>
    <x v="8"/>
    <s v="Wednesday"/>
    <n v="49189.531299999995"/>
    <n v="7030.5700000000033"/>
    <n v="6397.8187000000034"/>
  </r>
  <r>
    <n v="1038"/>
    <d v="2023-05-12T00:00:00"/>
    <x v="0"/>
    <s v="South"/>
    <n v="8630.74"/>
    <n v="20"/>
    <s v="Clothing"/>
    <n v="2607.31"/>
    <n v="2774.86"/>
    <s v="New"/>
    <n v="0.27"/>
    <s v="Credit Card"/>
    <s v="Retail"/>
    <s v="South-Bob"/>
    <x v="10"/>
    <s v="Friday"/>
    <n v="38066.725999999995"/>
    <n v="3351.0000000000036"/>
    <n v="2446.2300000000027"/>
  </r>
  <r>
    <n v="1084"/>
    <d v="2023-09-21T00:00:00"/>
    <x v="3"/>
    <s v="South"/>
    <n v="2813.31"/>
    <n v="36"/>
    <s v="Furniture"/>
    <n v="1458.77"/>
    <n v="1485.75"/>
    <s v="New"/>
    <n v="0.25"/>
    <s v="Credit Card"/>
    <s v="Online"/>
    <s v="South-Eve"/>
    <x v="2"/>
    <s v="Thursday"/>
    <n v="39386.79"/>
    <n v="971.28000000000065"/>
    <n v="728.46000000000049"/>
  </r>
  <r>
    <n v="1099"/>
    <d v="2023-02-24T00:00:00"/>
    <x v="1"/>
    <s v="East"/>
    <n v="8090"/>
    <n v="35"/>
    <s v="Clothing"/>
    <n v="2610.19"/>
    <n v="2682.53"/>
    <s v="New"/>
    <n v="0.14000000000000001"/>
    <s v="Cash"/>
    <s v="Retail"/>
    <s v="East-David"/>
    <x v="0"/>
    <s v="Friday"/>
    <n v="78566.719000000012"/>
    <n v="2531.9000000000051"/>
    <n v="2177.4340000000043"/>
  </r>
  <r>
    <n v="1089"/>
    <d v="2023-12-25T00:00:00"/>
    <x v="3"/>
    <s v="South"/>
    <n v="2032.88"/>
    <n v="32"/>
    <s v="Clothing"/>
    <n v="4248.5"/>
    <n v="4706.7"/>
    <s v="New"/>
    <n v="0.01"/>
    <s v="Bank Transfer"/>
    <s v="Retail"/>
    <s v="South-Eve"/>
    <x v="9"/>
    <s v="Monday"/>
    <n v="134592.48000000001"/>
    <n v="14662.399999999994"/>
    <n v="14515.775999999994"/>
  </r>
  <r>
    <n v="1099"/>
    <d v="2023-05-11T00:00:00"/>
    <x v="4"/>
    <s v="South"/>
    <n v="3518.89"/>
    <n v="48"/>
    <s v="Food"/>
    <n v="3441.61"/>
    <n v="3693.45"/>
    <s v="Returning"/>
    <n v="0.19"/>
    <s v="Bank Transfer"/>
    <s v="Online"/>
    <s v="South-Alice"/>
    <x v="10"/>
    <s v="Thursday"/>
    <n v="133809.79680000001"/>
    <n v="12088.319999999985"/>
    <n v="9791.5391999999883"/>
  </r>
  <r>
    <n v="1025"/>
    <d v="2023-10-15T00:00:00"/>
    <x v="1"/>
    <s v="North"/>
    <n v="3422.54"/>
    <n v="44"/>
    <s v="Food"/>
    <n v="1485.72"/>
    <n v="1717.97"/>
    <s v="New"/>
    <n v="0.02"/>
    <s v="Credit Card"/>
    <s v="Retail"/>
    <s v="North-David"/>
    <x v="7"/>
    <s v="Sunday"/>
    <n v="64064.246399999996"/>
    <n v="10219"/>
    <n v="10014.619999999999"/>
  </r>
  <r>
    <n v="1093"/>
    <d v="2023-09-23T00:00:00"/>
    <x v="2"/>
    <s v="North"/>
    <n v="9787.4"/>
    <n v="40"/>
    <s v="Furniture"/>
    <n v="1047.25"/>
    <n v="1075.8900000000001"/>
    <s v="New"/>
    <n v="0.28000000000000003"/>
    <s v="Credit Card"/>
    <s v="Retail"/>
    <s v="North-Charlie"/>
    <x v="2"/>
    <s v="Saturday"/>
    <n v="30160.799999999999"/>
    <n v="1145.600000000004"/>
    <n v="824.83200000000284"/>
  </r>
  <r>
    <n v="1018"/>
    <d v="2024-01-01T00:00:00"/>
    <x v="4"/>
    <s v="West"/>
    <n v="8579.7199999999993"/>
    <n v="24"/>
    <s v="Electronics"/>
    <n v="1362.78"/>
    <n v="1729.81"/>
    <s v="New"/>
    <n v="0.28999999999999998"/>
    <s v="Bank Transfer"/>
    <s v="Online"/>
    <s v="West-Alice"/>
    <x v="5"/>
    <s v="Monday"/>
    <n v="23221.771199999999"/>
    <n v="8808.7199999999993"/>
    <n v="6254.1911999999993"/>
  </r>
  <r>
    <n v="1082"/>
    <d v="2023-06-11T00:00:00"/>
    <x v="4"/>
    <s v="North"/>
    <n v="7041.58"/>
    <n v="17"/>
    <s v="Furniture"/>
    <n v="890.31"/>
    <n v="1159.06"/>
    <s v="Returning"/>
    <n v="0.06"/>
    <s v="Cash"/>
    <s v="Retail"/>
    <s v="North-Alice"/>
    <x v="6"/>
    <s v="Sunday"/>
    <n v="14227.153799999998"/>
    <n v="4568.75"/>
    <n v="4294.625"/>
  </r>
  <r>
    <n v="1066"/>
    <d v="2023-03-28T00:00:00"/>
    <x v="2"/>
    <s v="North"/>
    <n v="7297.86"/>
    <n v="7"/>
    <s v="Clothing"/>
    <n v="523.41999999999996"/>
    <n v="632.43999999999903"/>
    <s v="New"/>
    <n v="0.2"/>
    <s v="Bank Transfer"/>
    <s v="Online"/>
    <s v="North-Charlie"/>
    <x v="4"/>
    <s v="Tuesday"/>
    <n v="2931.152"/>
    <n v="763.13999999999351"/>
    <n v="610.51199999999483"/>
  </r>
  <r>
    <n v="1054"/>
    <d v="2023-02-24T00:00:00"/>
    <x v="4"/>
    <s v="North"/>
    <n v="5664.52"/>
    <n v="43"/>
    <s v="Food"/>
    <n v="2124.7199999999998"/>
    <n v="2188.66"/>
    <s v="Returning"/>
    <n v="0.03"/>
    <s v="Credit Card"/>
    <s v="Retail"/>
    <s v="North-Alice"/>
    <x v="0"/>
    <s v="Friday"/>
    <n v="88622.071199999991"/>
    <n v="2749.4200000000023"/>
    <n v="2666.9374000000021"/>
  </r>
  <r>
    <n v="1035"/>
    <d v="2023-10-15T00:00:00"/>
    <x v="1"/>
    <s v="North"/>
    <n v="9476.2000000000007"/>
    <n v="1"/>
    <s v="Furniture"/>
    <n v="610.83000000000004"/>
    <n v="808.69"/>
    <s v="New"/>
    <n v="0.22"/>
    <s v="Credit Card"/>
    <s v="Online"/>
    <s v="North-David"/>
    <x v="7"/>
    <s v="Sunday"/>
    <n v="476.44740000000007"/>
    <n v="197.86"/>
    <n v="154.33080000000001"/>
  </r>
  <r>
    <n v="1080"/>
    <d v="2023-06-27T00:00:00"/>
    <x v="3"/>
    <s v="West"/>
    <n v="5012.96"/>
    <n v="35"/>
    <s v="Furniture"/>
    <n v="900.97"/>
    <n v="1321.18"/>
    <s v="Returning"/>
    <n v="0.1"/>
    <s v="Cash"/>
    <s v="Online"/>
    <s v="West-Eve"/>
    <x v="6"/>
    <s v="Tuesday"/>
    <n v="28380.555"/>
    <n v="14707.350000000002"/>
    <n v="13236.615000000002"/>
  </r>
  <r>
    <n v="1061"/>
    <d v="2023-12-15T00:00:00"/>
    <x v="4"/>
    <s v="North"/>
    <n v="3867.13"/>
    <n v="32"/>
    <s v="Food"/>
    <n v="2759.26"/>
    <n v="3193.25"/>
    <s v="New"/>
    <n v="0.2"/>
    <s v="Bank Transfer"/>
    <s v="Online"/>
    <s v="North-Alice"/>
    <x v="9"/>
    <s v="Friday"/>
    <n v="70637.056000000011"/>
    <n v="13887.679999999993"/>
    <n v="11110.143999999995"/>
  </r>
  <r>
    <n v="1041"/>
    <d v="2023-01-08T00:00:00"/>
    <x v="1"/>
    <s v="East"/>
    <n v="1714.05"/>
    <n v="36"/>
    <s v="Food"/>
    <n v="864.77"/>
    <n v="1170.1599999999901"/>
    <s v="Returning"/>
    <n v="0.11"/>
    <s v="Cash"/>
    <s v="Retail"/>
    <s v="East-David"/>
    <x v="5"/>
    <s v="Sunday"/>
    <n v="27707.230800000001"/>
    <n v="10994.039999999644"/>
    <n v="9784.6955999996844"/>
  </r>
  <r>
    <n v="1100"/>
    <d v="2023-11-17T00:00:00"/>
    <x v="0"/>
    <s v="East"/>
    <n v="7883.44"/>
    <n v="13"/>
    <s v="Food"/>
    <n v="366.2"/>
    <n v="732.69"/>
    <s v="New"/>
    <n v="0.04"/>
    <s v="Cash"/>
    <s v="Retail"/>
    <s v="East-Bob"/>
    <x v="8"/>
    <s v="Friday"/>
    <n v="4570.1759999999995"/>
    <n v="4764.3700000000008"/>
    <n v="4573.7952000000005"/>
  </r>
  <r>
    <n v="1033"/>
    <d v="2023-11-09T00:00:00"/>
    <x v="1"/>
    <s v="East"/>
    <n v="7370.99"/>
    <n v="6"/>
    <s v="Clothing"/>
    <n v="1621.07"/>
    <n v="1687.5"/>
    <s v="Returning"/>
    <n v="0.12"/>
    <s v="Credit Card"/>
    <s v="Online"/>
    <s v="East-David"/>
    <x v="8"/>
    <s v="Thursday"/>
    <n v="8559.249600000001"/>
    <n v="398.58000000000038"/>
    <n v="350.75040000000035"/>
  </r>
  <r>
    <n v="1068"/>
    <d v="2023-09-04T00:00:00"/>
    <x v="3"/>
    <s v="East"/>
    <n v="3905.11"/>
    <n v="14"/>
    <s v="Food"/>
    <n v="1140.58"/>
    <n v="1438.76"/>
    <s v="Returning"/>
    <n v="0.03"/>
    <s v="Bank Transfer"/>
    <s v="Online"/>
    <s v="East-Eve"/>
    <x v="2"/>
    <s v="Monday"/>
    <n v="15489.076399999998"/>
    <n v="4174.5200000000004"/>
    <n v="4049.2844000000005"/>
  </r>
  <r>
    <n v="1033"/>
    <d v="2023-11-19T00:00:00"/>
    <x v="1"/>
    <s v="North"/>
    <n v="349.41"/>
    <n v="37"/>
    <s v="Electronics"/>
    <n v="2600.7600000000002"/>
    <n v="2937.57"/>
    <s v="New"/>
    <n v="0.17"/>
    <s v="Credit Card"/>
    <s v="Retail"/>
    <s v="North-David"/>
    <x v="8"/>
    <s v="Sunday"/>
    <n v="79869.339600000007"/>
    <n v="12461.969999999998"/>
    <n v="10343.435099999997"/>
  </r>
  <r>
    <n v="1014"/>
    <d v="2023-09-12T00:00:00"/>
    <x v="2"/>
    <s v="East"/>
    <n v="8406.07"/>
    <n v="48"/>
    <s v="Furniture"/>
    <n v="556.72"/>
    <n v="665.07"/>
    <s v="Returning"/>
    <n v="0.01"/>
    <s v="Bank Transfer"/>
    <s v="Retail"/>
    <s v="East-Charlie"/>
    <x v="2"/>
    <s v="Tuesday"/>
    <n v="26455.3344"/>
    <n v="5200.8000000000011"/>
    <n v="5148.7920000000013"/>
  </r>
  <r>
    <n v="1021"/>
    <d v="2023-11-24T00:00:00"/>
    <x v="3"/>
    <s v="North"/>
    <n v="213.04"/>
    <n v="15"/>
    <s v="Food"/>
    <n v="3771.27"/>
    <n v="4212.55"/>
    <s v="Returning"/>
    <n v="0.16"/>
    <s v="Credit Card"/>
    <s v="Retail"/>
    <s v="North-Eve"/>
    <x v="8"/>
    <s v="Friday"/>
    <n v="47518.002"/>
    <n v="6619.2000000000025"/>
    <n v="5560.1280000000015"/>
  </r>
  <r>
    <n v="1048"/>
    <d v="2023-02-23T00:00:00"/>
    <x v="0"/>
    <s v="West"/>
    <n v="7066.63"/>
    <n v="47"/>
    <s v="Food"/>
    <n v="4535.8599999999997"/>
    <n v="4641.41"/>
    <s v="New"/>
    <n v="0.27"/>
    <s v="Credit Card"/>
    <s v="Retail"/>
    <s v="West-Bob"/>
    <x v="0"/>
    <s v="Thursday"/>
    <n v="155625.35659999997"/>
    <n v="4960.8500000000085"/>
    <n v="3621.4205000000061"/>
  </r>
  <r>
    <n v="1020"/>
    <d v="2023-09-06T00:00:00"/>
    <x v="2"/>
    <s v="East"/>
    <n v="9705.5499999999993"/>
    <n v="4"/>
    <s v="Clothing"/>
    <n v="3730"/>
    <n v="3893.6"/>
    <s v="New"/>
    <n v="0.25"/>
    <s v="Bank Transfer"/>
    <s v="Retail"/>
    <s v="East-Charlie"/>
    <x v="2"/>
    <s v="Wednesday"/>
    <n v="11190"/>
    <n v="654.39999999999964"/>
    <n v="490.79999999999973"/>
  </r>
  <r>
    <n v="1008"/>
    <d v="2023-08-27T00:00:00"/>
    <x v="1"/>
    <s v="South"/>
    <n v="4432.8500000000004"/>
    <n v="40"/>
    <s v="Clothing"/>
    <n v="2687.49"/>
    <n v="3001.56"/>
    <s v="Returning"/>
    <n v="0.26"/>
    <s v="Bank Transfer"/>
    <s v="Online"/>
    <s v="South-David"/>
    <x v="3"/>
    <s v="Sunday"/>
    <n v="79549.703999999998"/>
    <n v="12562.800000000007"/>
    <n v="9296.4720000000052"/>
  </r>
  <r>
    <n v="1007"/>
    <d v="2023-08-17T00:00:00"/>
    <x v="3"/>
    <s v="East"/>
    <n v="2426.2399999999998"/>
    <n v="16"/>
    <s v="Furniture"/>
    <n v="4310.3100000000004"/>
    <n v="4633.1000000000004"/>
    <s v="New"/>
    <n v="0.28000000000000003"/>
    <s v="Credit Card"/>
    <s v="Retail"/>
    <s v="East-Eve"/>
    <x v="3"/>
    <s v="Thursday"/>
    <n v="49654.771200000003"/>
    <n v="5164.6399999999994"/>
    <n v="3718.5407999999993"/>
  </r>
  <r>
    <n v="1067"/>
    <d v="2023-03-08T00:00:00"/>
    <x v="0"/>
    <s v="East"/>
    <n v="7078.22"/>
    <n v="28"/>
    <s v="Electronics"/>
    <n v="3489.85"/>
    <n v="3842.5499999999902"/>
    <s v="New"/>
    <n v="0.03"/>
    <s v="Bank Transfer"/>
    <s v="Online"/>
    <s v="East-Bob"/>
    <x v="4"/>
    <s v="Wednesday"/>
    <n v="94784.326000000001"/>
    <n v="9875.5999999997275"/>
    <n v="9579.3319999997348"/>
  </r>
  <r>
    <n v="1017"/>
    <d v="2023-02-20T00:00:00"/>
    <x v="2"/>
    <s v="North"/>
    <n v="8189.57"/>
    <n v="16"/>
    <s v="Furniture"/>
    <n v="102.23"/>
    <n v="167.12"/>
    <s v="New"/>
    <n v="0.04"/>
    <s v="Credit Card"/>
    <s v="Retail"/>
    <s v="North-Charlie"/>
    <x v="0"/>
    <s v="Monday"/>
    <n v="1570.2528"/>
    <n v="1038.24"/>
    <n v="996.71039999999994"/>
  </r>
  <r>
    <n v="1033"/>
    <d v="2023-04-07T00:00:00"/>
    <x v="0"/>
    <s v="East"/>
    <n v="5509.66"/>
    <n v="4"/>
    <s v="Food"/>
    <n v="2000.75"/>
    <n v="2426.9899999999998"/>
    <s v="Returning"/>
    <n v="0.17"/>
    <s v="Bank Transfer"/>
    <s v="Online"/>
    <s v="East-Bob"/>
    <x v="1"/>
    <s v="Friday"/>
    <n v="6642.49"/>
    <n v="1704.9599999999991"/>
    <n v="1415.1167999999991"/>
  </r>
  <r>
    <n v="1048"/>
    <d v="2023-04-02T00:00:00"/>
    <x v="1"/>
    <s v="South"/>
    <n v="9673.65"/>
    <n v="45"/>
    <s v="Electronics"/>
    <n v="4262.21"/>
    <n v="4533.3100000000004"/>
    <s v="Returning"/>
    <n v="0.27"/>
    <s v="Credit Card"/>
    <s v="Online"/>
    <s v="South-David"/>
    <x v="1"/>
    <s v="Sunday"/>
    <n v="140013.59849999999"/>
    <n v="12199.500000000016"/>
    <n v="8905.6350000000111"/>
  </r>
  <r>
    <n v="1076"/>
    <d v="2023-09-21T00:00:00"/>
    <x v="0"/>
    <s v="North"/>
    <n v="611.52"/>
    <n v="26"/>
    <s v="Electronics"/>
    <n v="1762"/>
    <n v="2002.95"/>
    <s v="Returning"/>
    <n v="0.28999999999999998"/>
    <s v="Credit Card"/>
    <s v="Retail"/>
    <s v="North-Bob"/>
    <x v="2"/>
    <s v="Thursday"/>
    <n v="32526.519999999997"/>
    <n v="6264.7000000000007"/>
    <n v="4447.9369999999999"/>
  </r>
  <r>
    <n v="1059"/>
    <d v="2023-10-18T00:00:00"/>
    <x v="4"/>
    <s v="North"/>
    <n v="5097.4799999999996"/>
    <n v="28"/>
    <s v="Electronics"/>
    <n v="224.32"/>
    <n v="715.06"/>
    <s v="Returning"/>
    <n v="0.01"/>
    <s v="Credit Card"/>
    <s v="Online"/>
    <s v="North-Alice"/>
    <x v="7"/>
    <s v="Wednesday"/>
    <n v="6218.1503999999995"/>
    <n v="13740.72"/>
    <n v="13603.3128"/>
  </r>
  <r>
    <n v="1086"/>
    <d v="2023-04-06T00:00:00"/>
    <x v="2"/>
    <s v="West"/>
    <n v="7212.69"/>
    <n v="32"/>
    <s v="Electronics"/>
    <n v="3743.59"/>
    <n v="4116.38"/>
    <s v="Returning"/>
    <n v="0.11"/>
    <s v="Cash"/>
    <s v="Online"/>
    <s v="West-Charlie"/>
    <x v="1"/>
    <s v="Thursday"/>
    <n v="106617.44320000001"/>
    <n v="11929.279999999999"/>
    <n v="10617.0592"/>
  </r>
  <r>
    <n v="1022"/>
    <d v="2023-03-29T00:00:00"/>
    <x v="0"/>
    <s v="West"/>
    <n v="8640.14"/>
    <n v="45"/>
    <s v="Furniture"/>
    <n v="4020.09"/>
    <n v="4087.91"/>
    <s v="Returning"/>
    <n v="0.06"/>
    <s v="Bank Transfer"/>
    <s v="Online"/>
    <s v="West-Bob"/>
    <x v="4"/>
    <s v="Wednesday"/>
    <n v="170049.807"/>
    <n v="3051.8999999999869"/>
    <n v="2868.7859999999873"/>
  </r>
  <r>
    <n v="1030"/>
    <d v="2023-03-19T00:00:00"/>
    <x v="1"/>
    <s v="East"/>
    <n v="1874.63"/>
    <n v="2"/>
    <s v="Clothing"/>
    <n v="844.94"/>
    <n v="1225.6400000000001"/>
    <s v="Returning"/>
    <n v="0.23"/>
    <s v="Credit Card"/>
    <s v="Online"/>
    <s v="East-David"/>
    <x v="4"/>
    <s v="Sunday"/>
    <n v="1301.2076000000002"/>
    <n v="761.40000000000009"/>
    <n v="586.27800000000013"/>
  </r>
  <r>
    <n v="1038"/>
    <d v="2023-10-15T00:00:00"/>
    <x v="1"/>
    <s v="West"/>
    <n v="8020.03"/>
    <n v="31"/>
    <s v="Clothing"/>
    <n v="2709.84"/>
    <n v="2766.51"/>
    <s v="New"/>
    <n v="0.19"/>
    <s v="Cash"/>
    <s v="Retail"/>
    <s v="West-David"/>
    <x v="7"/>
    <s v="Sunday"/>
    <n v="68044.082400000014"/>
    <n v="1756.7700000000023"/>
    <n v="1422.9837000000018"/>
  </r>
  <r>
    <n v="1051"/>
    <d v="2023-04-30T00:00:00"/>
    <x v="0"/>
    <s v="West"/>
    <n v="5571.8"/>
    <n v="3"/>
    <s v="Food"/>
    <n v="1000.18"/>
    <n v="1023.64"/>
    <s v="Returning"/>
    <n v="0.04"/>
    <s v="Credit Card"/>
    <s v="Online"/>
    <s v="West-Bob"/>
    <x v="1"/>
    <s v="Sunday"/>
    <n v="2880.5183999999999"/>
    <n v="70.380000000000109"/>
    <n v="67.564800000000105"/>
  </r>
  <r>
    <n v="1054"/>
    <d v="2023-10-29T00:00:00"/>
    <x v="1"/>
    <s v="West"/>
    <n v="4025.88"/>
    <n v="8"/>
    <s v="Clothing"/>
    <n v="3610.21"/>
    <n v="3817.99"/>
    <s v="Returning"/>
    <n v="0.15"/>
    <s v="Cash"/>
    <s v="Retail"/>
    <s v="West-David"/>
    <x v="7"/>
    <s v="Sunday"/>
    <n v="24549.428"/>
    <n v="1662.239999999998"/>
    <n v="1412.9039999999982"/>
  </r>
  <r>
    <n v="1008"/>
    <d v="2023-06-14T00:00:00"/>
    <x v="3"/>
    <s v="North"/>
    <n v="1403.98"/>
    <n v="24"/>
    <s v="Clothing"/>
    <n v="1394.17"/>
    <n v="1891.02"/>
    <s v="New"/>
    <n v="0.21"/>
    <s v="Credit Card"/>
    <s v="Online"/>
    <s v="North-Eve"/>
    <x v="6"/>
    <s v="Wednesday"/>
    <n v="26433.463200000002"/>
    <n v="11924.399999999998"/>
    <n v="9420.275999999998"/>
  </r>
  <r>
    <n v="1027"/>
    <d v="2023-07-01T00:00:00"/>
    <x v="3"/>
    <s v="North"/>
    <n v="8666.43"/>
    <n v="15"/>
    <s v="Clothing"/>
    <n v="1615.26"/>
    <n v="1710.95"/>
    <s v="New"/>
    <n v="0.23"/>
    <s v="Credit Card"/>
    <s v="Retail"/>
    <s v="North-Eve"/>
    <x v="11"/>
    <s v="Saturday"/>
    <n v="18656.253000000001"/>
    <n v="1435.3500000000008"/>
    <n v="1105.2195000000006"/>
  </r>
  <r>
    <n v="1027"/>
    <d v="2023-08-11T00:00:00"/>
    <x v="3"/>
    <s v="North"/>
    <n v="1657"/>
    <n v="43"/>
    <s v="Clothing"/>
    <n v="4232.6099999999997"/>
    <n v="4572.21"/>
    <s v="New"/>
    <n v="0.01"/>
    <s v="Cash"/>
    <s v="Retail"/>
    <s v="North-Eve"/>
    <x v="3"/>
    <s v="Friday"/>
    <n v="180182.20769999997"/>
    <n v="14602.800000000016"/>
    <n v="14456.772000000015"/>
  </r>
  <r>
    <n v="1098"/>
    <d v="2023-11-07T00:00:00"/>
    <x v="4"/>
    <s v="West"/>
    <n v="3166.9"/>
    <n v="31"/>
    <s v="Food"/>
    <n v="2407.8000000000002"/>
    <n v="2502.7600000000002"/>
    <s v="Returning"/>
    <n v="0.27"/>
    <s v="Cash"/>
    <s v="Retail"/>
    <s v="West-Alice"/>
    <x v="8"/>
    <s v="Tuesday"/>
    <n v="54488.514000000003"/>
    <n v="2943.7600000000011"/>
    <n v="2148.9448000000007"/>
  </r>
  <r>
    <n v="1021"/>
    <d v="2023-01-07T00:00:00"/>
    <x v="0"/>
    <s v="North"/>
    <n v="2971.45"/>
    <n v="9"/>
    <s v="Furniture"/>
    <n v="3365.28"/>
    <n v="3730.43"/>
    <s v="New"/>
    <n v="0.17"/>
    <s v="Bank Transfer"/>
    <s v="Online"/>
    <s v="North-Bob"/>
    <x v="5"/>
    <s v="Saturday"/>
    <n v="25138.641599999999"/>
    <n v="3286.3499999999967"/>
    <n v="2727.670499999997"/>
  </r>
  <r>
    <n v="1030"/>
    <d v="2023-11-26T00:00:00"/>
    <x v="4"/>
    <s v="West"/>
    <n v="8727"/>
    <n v="39"/>
    <s v="Electronics"/>
    <n v="2041.75"/>
    <n v="2299.37"/>
    <s v="Returning"/>
    <n v="0.24"/>
    <s v="Bank Transfer"/>
    <s v="Retail"/>
    <s v="West-Alice"/>
    <x v="8"/>
    <s v="Sunday"/>
    <n v="60517.47"/>
    <n v="10047.179999999997"/>
    <n v="7635.8567999999977"/>
  </r>
  <r>
    <n v="1097"/>
    <d v="2023-09-20T00:00:00"/>
    <x v="1"/>
    <s v="North"/>
    <n v="6759.76"/>
    <n v="45"/>
    <s v="Clothing"/>
    <n v="1525.13"/>
    <n v="1868.32"/>
    <s v="Returning"/>
    <n v="0.24"/>
    <s v="Cash"/>
    <s v="Retail"/>
    <s v="North-David"/>
    <x v="2"/>
    <s v="Wednesday"/>
    <n v="52159.446000000004"/>
    <n v="15443.549999999992"/>
    <n v="11737.097999999994"/>
  </r>
  <r>
    <n v="1028"/>
    <d v="2023-06-10T00:00:00"/>
    <x v="4"/>
    <s v="North"/>
    <n v="7987.15"/>
    <n v="2"/>
    <s v="Furniture"/>
    <n v="3146.12"/>
    <n v="3255.5299999999902"/>
    <s v="Returning"/>
    <n v="0.06"/>
    <s v="Bank Transfer"/>
    <s v="Online"/>
    <s v="North-Alice"/>
    <x v="6"/>
    <s v="Saturday"/>
    <n v="5914.7055999999993"/>
    <n v="218.81999999998061"/>
    <n v="205.69079999998175"/>
  </r>
  <r>
    <n v="1064"/>
    <d v="2023-05-31T00:00:00"/>
    <x v="1"/>
    <s v="South"/>
    <n v="2579.63"/>
    <n v="8"/>
    <s v="Clothing"/>
    <n v="816.54"/>
    <n v="1191.9000000000001"/>
    <s v="New"/>
    <n v="0.03"/>
    <s v="Cash"/>
    <s v="Retail"/>
    <s v="South-David"/>
    <x v="10"/>
    <s v="Wednesday"/>
    <n v="6336.3503999999994"/>
    <n v="3002.880000000001"/>
    <n v="2912.7936000000009"/>
  </r>
  <r>
    <n v="1097"/>
    <d v="2023-03-26T00:00:00"/>
    <x v="1"/>
    <s v="East"/>
    <n v="6286.25"/>
    <n v="7"/>
    <s v="Clothing"/>
    <n v="1896.35"/>
    <n v="2394.1999999999998"/>
    <s v="New"/>
    <n v="0.22"/>
    <s v="Bank Transfer"/>
    <s v="Online"/>
    <s v="East-David"/>
    <x v="4"/>
    <s v="Sunday"/>
    <n v="10354.071"/>
    <n v="3484.9499999999994"/>
    <n v="2718.2609999999995"/>
  </r>
  <r>
    <n v="1069"/>
    <d v="2023-05-27T00:00:00"/>
    <x v="2"/>
    <s v="West"/>
    <n v="5760.29"/>
    <n v="44"/>
    <s v="Electronics"/>
    <n v="1084.73"/>
    <n v="1420.9"/>
    <s v="Returning"/>
    <n v="0.05"/>
    <s v="Credit Card"/>
    <s v="Online"/>
    <s v="West-Charlie"/>
    <x v="10"/>
    <s v="Saturday"/>
    <n v="45341.714"/>
    <n v="14791.480000000003"/>
    <n v="14051.906000000003"/>
  </r>
  <r>
    <n v="1061"/>
    <d v="2023-04-22T00:00:00"/>
    <x v="3"/>
    <s v="South"/>
    <n v="8345.02"/>
    <n v="39"/>
    <s v="Electronics"/>
    <n v="3494.19"/>
    <n v="3746"/>
    <s v="Returning"/>
    <n v="0.25"/>
    <s v="Bank Transfer"/>
    <s v="Retail"/>
    <s v="South-Eve"/>
    <x v="1"/>
    <s v="Saturday"/>
    <n v="102205.0575"/>
    <n v="9820.5899999999983"/>
    <n v="7365.4424999999992"/>
  </r>
  <r>
    <n v="1048"/>
    <d v="2023-02-05T00:00:00"/>
    <x v="1"/>
    <s v="North"/>
    <n v="9070.26"/>
    <n v="42"/>
    <s v="Electronics"/>
    <n v="4723.83"/>
    <n v="5186.1899999999996"/>
    <s v="Returning"/>
    <n v="0.22"/>
    <s v="Credit Card"/>
    <s v="Online"/>
    <s v="North-David"/>
    <x v="0"/>
    <s v="Sunday"/>
    <n v="154752.67079999999"/>
    <n v="19419.119999999988"/>
    <n v="15146.913599999991"/>
  </r>
  <r>
    <n v="1019"/>
    <d v="2023-10-12T00:00:00"/>
    <x v="2"/>
    <s v="West"/>
    <n v="220.35"/>
    <n v="16"/>
    <s v="Clothing"/>
    <n v="4977.78"/>
    <n v="4995.55"/>
    <s v="New"/>
    <n v="0.25"/>
    <s v="Credit Card"/>
    <s v="Online"/>
    <s v="West-Charlie"/>
    <x v="7"/>
    <s v="Thursday"/>
    <n v="59733.36"/>
    <n v="284.32000000000698"/>
    <n v="213.24000000000524"/>
  </r>
  <r>
    <n v="1004"/>
    <d v="2023-07-07T00:00:00"/>
    <x v="3"/>
    <s v="North"/>
    <n v="6772.8"/>
    <n v="35"/>
    <s v="Clothing"/>
    <n v="2278.87"/>
    <n v="2646.5299999999902"/>
    <s v="Returning"/>
    <n v="0.09"/>
    <s v="Bank Transfer"/>
    <s v="Online"/>
    <s v="North-Eve"/>
    <x v="11"/>
    <s v="Friday"/>
    <n v="72582.0095"/>
    <n v="12868.09999999966"/>
    <n v="11709.97099999969"/>
  </r>
  <r>
    <n v="1035"/>
    <d v="2023-03-23T00:00:00"/>
    <x v="1"/>
    <s v="East"/>
    <n v="613.16999999999996"/>
    <n v="30"/>
    <s v="Clothing"/>
    <n v="1300.03"/>
    <n v="1745.52"/>
    <s v="New"/>
    <n v="0.09"/>
    <s v="Cash"/>
    <s v="Retail"/>
    <s v="East-David"/>
    <x v="4"/>
    <s v="Thursday"/>
    <n v="35490.819000000003"/>
    <n v="13364.7"/>
    <n v="12161.877"/>
  </r>
  <r>
    <n v="1064"/>
    <d v="2023-01-02T00:00:00"/>
    <x v="1"/>
    <s v="South"/>
    <n v="5533.7"/>
    <n v="10"/>
    <s v="Electronics"/>
    <n v="2242.0100000000002"/>
    <n v="2282.23"/>
    <s v="Returning"/>
    <n v="0.2"/>
    <s v="Credit Card"/>
    <s v="Online"/>
    <s v="South-David"/>
    <x v="5"/>
    <s v="Monday"/>
    <n v="17936.080000000002"/>
    <n v="402.199999999998"/>
    <n v="321.7599999999984"/>
  </r>
  <r>
    <n v="1049"/>
    <d v="2023-10-30T00:00:00"/>
    <x v="4"/>
    <s v="East"/>
    <n v="2947.56"/>
    <n v="38"/>
    <s v="Food"/>
    <n v="4243.9799999999996"/>
    <n v="4474.5099999999902"/>
    <s v="New"/>
    <n v="0.01"/>
    <s v="Credit Card"/>
    <s v="Online"/>
    <s v="East-Alice"/>
    <x v="7"/>
    <s v="Monday"/>
    <n v="159658.5276"/>
    <n v="8760.1399999996447"/>
    <n v="8672.5385999996488"/>
  </r>
  <r>
    <n v="1017"/>
    <d v="2023-07-16T00:00:00"/>
    <x v="4"/>
    <s v="South"/>
    <n v="3137.09"/>
    <n v="18"/>
    <s v="Furniture"/>
    <n v="1069.73"/>
    <n v="1180.04"/>
    <s v="Returning"/>
    <n v="0.22"/>
    <s v="Bank Transfer"/>
    <s v="Online"/>
    <s v="South-Alice"/>
    <x v="11"/>
    <s v="Sunday"/>
    <n v="15019.0092"/>
    <n v="1985.579999999999"/>
    <n v="1548.7523999999994"/>
  </r>
  <r>
    <n v="1044"/>
    <d v="2023-01-11T00:00:00"/>
    <x v="3"/>
    <s v="North"/>
    <n v="3594.29"/>
    <n v="5"/>
    <s v="Food"/>
    <n v="4762.87"/>
    <n v="5050.46"/>
    <s v="New"/>
    <n v="0.25"/>
    <s v="Cash"/>
    <s v="Retail"/>
    <s v="North-Eve"/>
    <x v="5"/>
    <s v="Wednesday"/>
    <n v="17860.762499999997"/>
    <n v="1437.9500000000007"/>
    <n v="1078.4625000000005"/>
  </r>
  <r>
    <n v="1092"/>
    <d v="2023-08-22T00:00:00"/>
    <x v="1"/>
    <s v="East"/>
    <n v="6250.8"/>
    <n v="29"/>
    <s v="Clothing"/>
    <n v="1742.24"/>
    <n v="2070.52"/>
    <s v="New"/>
    <n v="0.12"/>
    <s v="Cash"/>
    <s v="Online"/>
    <s v="East-David"/>
    <x v="3"/>
    <s v="Tuesday"/>
    <n v="44461.964800000002"/>
    <n v="9520.119999999999"/>
    <n v="8377.7055999999993"/>
  </r>
  <r>
    <n v="1030"/>
    <d v="2023-07-14T00:00:00"/>
    <x v="0"/>
    <s v="East"/>
    <n v="3407.09"/>
    <n v="39"/>
    <s v="Clothing"/>
    <n v="4929.7299999999996"/>
    <n v="5088.0199999999904"/>
    <s v="New"/>
    <n v="0.23"/>
    <s v="Bank Transfer"/>
    <s v="Retail"/>
    <s v="East-Bob"/>
    <x v="11"/>
    <s v="Friday"/>
    <n v="148039.79189999998"/>
    <n v="6173.3099999996439"/>
    <n v="4753.4486999997262"/>
  </r>
  <r>
    <n v="1093"/>
    <d v="2023-04-29T00:00:00"/>
    <x v="4"/>
    <s v="North"/>
    <n v="7353.72"/>
    <n v="34"/>
    <s v="Food"/>
    <n v="4201.1099999999997"/>
    <n v="4436.5"/>
    <s v="New"/>
    <n v="0.05"/>
    <s v="Cash"/>
    <s v="Online"/>
    <s v="North-Alice"/>
    <x v="1"/>
    <s v="Saturday"/>
    <n v="135695.85299999997"/>
    <n v="8003.2600000000111"/>
    <n v="7603.0970000000107"/>
  </r>
  <r>
    <n v="1046"/>
    <d v="2023-01-20T00:00:00"/>
    <x v="3"/>
    <s v="East"/>
    <n v="4104.82"/>
    <n v="43"/>
    <s v="Clothing"/>
    <n v="4052.42"/>
    <n v="4199.3"/>
    <s v="New"/>
    <n v="0.1"/>
    <s v="Bank Transfer"/>
    <s v="Retail"/>
    <s v="East-Eve"/>
    <x v="5"/>
    <s v="Friday"/>
    <n v="156828.65400000001"/>
    <n v="6315.8400000000047"/>
    <n v="5684.256000000004"/>
  </r>
  <r>
    <n v="1006"/>
    <d v="2023-09-18T00:00:00"/>
    <x v="1"/>
    <s v="West"/>
    <n v="776.7"/>
    <n v="45"/>
    <s v="Furniture"/>
    <n v="1623.63"/>
    <n v="1814.63"/>
    <s v="New"/>
    <n v="0.28999999999999998"/>
    <s v="Bank Transfer"/>
    <s v="Retail"/>
    <s v="West-David"/>
    <x v="2"/>
    <s v="Monday"/>
    <n v="51874.978500000005"/>
    <n v="8595"/>
    <n v="6102.45"/>
  </r>
  <r>
    <n v="1099"/>
    <d v="2023-10-20T00:00:00"/>
    <x v="1"/>
    <s v="South"/>
    <n v="7859.22"/>
    <n v="23"/>
    <s v="Clothing"/>
    <n v="93.45"/>
    <n v="181.62"/>
    <s v="Returning"/>
    <n v="0.3"/>
    <s v="Bank Transfer"/>
    <s v="Retail"/>
    <s v="South-David"/>
    <x v="7"/>
    <s v="Friday"/>
    <n v="1504.5449999999998"/>
    <n v="2027.91"/>
    <n v="1419.537"/>
  </r>
  <r>
    <n v="1037"/>
    <d v="2023-09-13T00:00:00"/>
    <x v="0"/>
    <s v="South"/>
    <n v="2929.01"/>
    <n v="5"/>
    <s v="Furniture"/>
    <n v="1941.56"/>
    <n v="2385.48"/>
    <s v="Returning"/>
    <n v="0.15"/>
    <s v="Credit Card"/>
    <s v="Online"/>
    <s v="South-Bob"/>
    <x v="2"/>
    <s v="Wednesday"/>
    <n v="8251.6299999999992"/>
    <n v="2219.6000000000004"/>
    <n v="1886.6600000000003"/>
  </r>
  <r>
    <n v="1024"/>
    <d v="2023-08-10T00:00:00"/>
    <x v="3"/>
    <s v="South"/>
    <n v="4384.3900000000003"/>
    <n v="30"/>
    <s v="Food"/>
    <n v="1543.96"/>
    <n v="1558.87"/>
    <s v="Returning"/>
    <n v="0.28000000000000003"/>
    <s v="Credit Card"/>
    <s v="Online"/>
    <s v="South-Eve"/>
    <x v="3"/>
    <s v="Thursday"/>
    <n v="33349.536"/>
    <n v="447.29999999999563"/>
    <n v="322.05599999999686"/>
  </r>
  <r>
    <n v="1093"/>
    <d v="2023-08-14T00:00:00"/>
    <x v="1"/>
    <s v="West"/>
    <n v="6885.89"/>
    <n v="6"/>
    <s v="Food"/>
    <n v="235.12"/>
    <n v="677.5"/>
    <s v="Returning"/>
    <n v="0.16"/>
    <s v="Credit Card"/>
    <s v="Online"/>
    <s v="West-David"/>
    <x v="3"/>
    <s v="Monday"/>
    <n v="1185.0047999999999"/>
    <n v="2654.2799999999997"/>
    <n v="2229.5951999999997"/>
  </r>
  <r>
    <n v="1046"/>
    <d v="2023-02-22T00:00:00"/>
    <x v="4"/>
    <s v="South"/>
    <n v="3391.32"/>
    <n v="46"/>
    <s v="Clothing"/>
    <n v="2551.56"/>
    <n v="2841.68"/>
    <s v="New"/>
    <n v="0.09"/>
    <s v="Bank Transfer"/>
    <s v="Retail"/>
    <s v="South-Alice"/>
    <x v="0"/>
    <s v="Wednesday"/>
    <n v="106808.30160000001"/>
    <n v="13345.519999999995"/>
    <n v="12144.423199999996"/>
  </r>
  <r>
    <n v="1053"/>
    <d v="2023-12-21T00:00:00"/>
    <x v="0"/>
    <s v="North"/>
    <n v="660.2"/>
    <n v="44"/>
    <s v="Furniture"/>
    <n v="2045"/>
    <n v="2217.5100000000002"/>
    <s v="Returning"/>
    <n v="0.08"/>
    <s v="Credit Card"/>
    <s v="Online"/>
    <s v="North-Bob"/>
    <x v="9"/>
    <s v="Thursday"/>
    <n v="82781.600000000006"/>
    <n v="7590.4400000000096"/>
    <n v="6983.2048000000095"/>
  </r>
  <r>
    <n v="1095"/>
    <d v="2023-12-08T00:00:00"/>
    <x v="3"/>
    <s v="East"/>
    <n v="3801.82"/>
    <n v="4"/>
    <s v="Clothing"/>
    <n v="3191.05"/>
    <n v="3555.35"/>
    <s v="New"/>
    <n v="0.28000000000000003"/>
    <s v="Credit Card"/>
    <s v="Online"/>
    <s v="East-Eve"/>
    <x v="9"/>
    <s v="Friday"/>
    <n v="9190.2240000000002"/>
    <n v="1457.1999999999989"/>
    <n v="1049.1839999999993"/>
  </r>
  <r>
    <n v="1099"/>
    <d v="2023-12-30T00:00:00"/>
    <x v="0"/>
    <s v="West"/>
    <n v="9450.0400000000009"/>
    <n v="29"/>
    <s v="Electronics"/>
    <n v="3124.87"/>
    <n v="3383.67"/>
    <s v="New"/>
    <n v="0.05"/>
    <s v="Credit Card"/>
    <s v="Retail"/>
    <s v="West-Bob"/>
    <x v="9"/>
    <s v="Saturday"/>
    <n v="86090.168499999985"/>
    <n v="7505.2000000000053"/>
    <n v="7129.9400000000051"/>
  </r>
  <r>
    <n v="1060"/>
    <d v="2023-10-07T00:00:00"/>
    <x v="4"/>
    <s v="South"/>
    <n v="6453.17"/>
    <n v="23"/>
    <s v="Electronics"/>
    <n v="647.70000000000005"/>
    <n v="902.26"/>
    <s v="New"/>
    <n v="0.17"/>
    <s v="Bank Transfer"/>
    <s v="Online"/>
    <s v="South-Alice"/>
    <x v="7"/>
    <s v="Saturday"/>
    <n v="12364.592999999999"/>
    <n v="5854.8799999999992"/>
    <n v="4859.5503999999992"/>
  </r>
  <r>
    <n v="1097"/>
    <d v="2023-03-22T00:00:00"/>
    <x v="3"/>
    <s v="North"/>
    <n v="6747.64"/>
    <n v="6"/>
    <s v="Electronics"/>
    <n v="4885.9799999999996"/>
    <n v="4949.95"/>
    <s v="Returning"/>
    <n v="0.17"/>
    <s v="Bank Transfer"/>
    <s v="Online"/>
    <s v="North-Eve"/>
    <x v="4"/>
    <s v="Wednesday"/>
    <n v="24332.180399999997"/>
    <n v="383.82000000000153"/>
    <n v="318.57060000000126"/>
  </r>
  <r>
    <n v="1063"/>
    <d v="2023-07-21T00:00:00"/>
    <x v="0"/>
    <s v="East"/>
    <n v="6359.59"/>
    <n v="32"/>
    <s v="Electronics"/>
    <n v="975.31"/>
    <n v="1176.17"/>
    <s v="New"/>
    <n v="0.22"/>
    <s v="Bank Transfer"/>
    <s v="Retail"/>
    <s v="East-Bob"/>
    <x v="11"/>
    <s v="Friday"/>
    <n v="24343.7376"/>
    <n v="6427.5200000000041"/>
    <n v="5013.4656000000032"/>
  </r>
  <r>
    <n v="1085"/>
    <d v="2023-06-07T00:00:00"/>
    <x v="2"/>
    <s v="East"/>
    <n v="2070.02"/>
    <n v="42"/>
    <s v="Clothing"/>
    <n v="2254.11"/>
    <n v="2382.23"/>
    <s v="Returning"/>
    <n v="0.15"/>
    <s v="Credit Card"/>
    <s v="Retail"/>
    <s v="East-Charlie"/>
    <x v="6"/>
    <s v="Wednesday"/>
    <n v="80471.727000000014"/>
    <n v="5381.0399999999954"/>
    <n v="4573.8839999999964"/>
  </r>
  <r>
    <n v="1032"/>
    <d v="2023-04-30T00:00:00"/>
    <x v="4"/>
    <s v="West"/>
    <n v="4241.51"/>
    <n v="18"/>
    <s v="Electronics"/>
    <n v="2466.1799999999998"/>
    <n v="2483.87"/>
    <s v="Returning"/>
    <n v="0.08"/>
    <s v="Cash"/>
    <s v="Online"/>
    <s v="West-Alice"/>
    <x v="1"/>
    <s v="Sunday"/>
    <n v="40839.940799999997"/>
    <n v="318.42000000000098"/>
    <n v="292.94640000000089"/>
  </r>
  <r>
    <n v="1087"/>
    <d v="2023-02-28T00:00:00"/>
    <x v="4"/>
    <s v="West"/>
    <n v="7534.3"/>
    <n v="15"/>
    <s v="Furniture"/>
    <n v="4074.66"/>
    <n v="4261.1099999999997"/>
    <s v="Returning"/>
    <n v="0.05"/>
    <s v="Credit Card"/>
    <s v="Retail"/>
    <s v="West-Alice"/>
    <x v="0"/>
    <s v="Tuesday"/>
    <n v="58063.904999999992"/>
    <n v="2796.7499999999973"/>
    <n v="2656.9124999999972"/>
  </r>
  <r>
    <n v="1033"/>
    <d v="2023-08-03T00:00:00"/>
    <x v="4"/>
    <s v="West"/>
    <n v="1103.5899999999999"/>
    <n v="40"/>
    <s v="Food"/>
    <n v="541.19000000000005"/>
    <n v="595.20000000000005"/>
    <s v="Returning"/>
    <n v="0.19"/>
    <s v="Credit Card"/>
    <s v="Online"/>
    <s v="West-Alice"/>
    <x v="3"/>
    <s v="Thursday"/>
    <n v="17534.556000000004"/>
    <n v="2160.3999999999996"/>
    <n v="1749.9239999999998"/>
  </r>
  <r>
    <n v="1067"/>
    <d v="2023-05-08T00:00:00"/>
    <x v="2"/>
    <s v="North"/>
    <n v="2850.74"/>
    <n v="32"/>
    <s v="Food"/>
    <n v="2171.79"/>
    <n v="2307.64"/>
    <s v="Returning"/>
    <n v="0.22"/>
    <s v="Bank Transfer"/>
    <s v="Online"/>
    <s v="North-Charlie"/>
    <x v="10"/>
    <s v="Monday"/>
    <n v="54207.878400000001"/>
    <n v="4347.1999999999971"/>
    <n v="3390.815999999998"/>
  </r>
  <r>
    <n v="1018"/>
    <d v="2023-08-12T00:00:00"/>
    <x v="2"/>
    <s v="North"/>
    <n v="2835.56"/>
    <n v="9"/>
    <s v="Electronics"/>
    <n v="3161.09"/>
    <n v="3216.42"/>
    <s v="New"/>
    <n v="0.17"/>
    <s v="Bank Transfer"/>
    <s v="Online"/>
    <s v="North-Charlie"/>
    <x v="3"/>
    <s v="Saturday"/>
    <n v="23613.3423"/>
    <n v="497.96999999999935"/>
    <n v="413.31509999999946"/>
  </r>
  <r>
    <n v="1025"/>
    <d v="2023-07-28T00:00:00"/>
    <x v="1"/>
    <s v="West"/>
    <n v="4376.99"/>
    <n v="37"/>
    <s v="Electronics"/>
    <n v="1115.02"/>
    <n v="1174.48"/>
    <s v="New"/>
    <n v="0.22"/>
    <s v="Credit Card"/>
    <s v="Online"/>
    <s v="West-David"/>
    <x v="11"/>
    <s v="Friday"/>
    <n v="32179.477200000001"/>
    <n v="2200.0200000000013"/>
    <n v="1716.0156000000011"/>
  </r>
  <r>
    <n v="1095"/>
    <d v="2023-04-25T00:00:00"/>
    <x v="0"/>
    <s v="South"/>
    <n v="9805.65"/>
    <n v="10"/>
    <s v="Electronics"/>
    <n v="3155.97"/>
    <n v="3263.49"/>
    <s v="Returning"/>
    <n v="0.04"/>
    <s v="Credit Card"/>
    <s v="Online"/>
    <s v="South-Bob"/>
    <x v="1"/>
    <s v="Tuesday"/>
    <n v="30297.311999999994"/>
    <n v="1075.1999999999998"/>
    <n v="1032.1919999999998"/>
  </r>
  <r>
    <n v="1054"/>
    <d v="2023-07-28T00:00:00"/>
    <x v="1"/>
    <s v="East"/>
    <n v="768.28"/>
    <n v="20"/>
    <s v="Clothing"/>
    <n v="4622.1400000000003"/>
    <n v="5122.07"/>
    <s v="New"/>
    <n v="0.26"/>
    <s v="Cash"/>
    <s v="Retail"/>
    <s v="East-David"/>
    <x v="11"/>
    <s v="Friday"/>
    <n v="68407.672000000006"/>
    <n v="9998.5999999999876"/>
    <n v="7398.9639999999908"/>
  </r>
  <r>
    <n v="1058"/>
    <d v="2023-01-14T00:00:00"/>
    <x v="0"/>
    <s v="East"/>
    <n v="5235.1400000000003"/>
    <n v="6"/>
    <s v="Food"/>
    <n v="4987.71"/>
    <n v="4998.78"/>
    <s v="Returning"/>
    <n v="0.17"/>
    <s v="Cash"/>
    <s v="Retail"/>
    <s v="East-Bob"/>
    <x v="5"/>
    <s v="Saturday"/>
    <n v="24838.7958"/>
    <n v="66.419999999998254"/>
    <n v="55.128599999998549"/>
  </r>
  <r>
    <n v="1067"/>
    <d v="2023-01-09T00:00:00"/>
    <x v="2"/>
    <s v="North"/>
    <n v="1875.71"/>
    <n v="48"/>
    <s v="Electronics"/>
    <n v="210.63"/>
    <n v="533.57999999999902"/>
    <s v="New"/>
    <n v="0.04"/>
    <s v="Bank Transfer"/>
    <s v="Online"/>
    <s v="North-Charlie"/>
    <x v="5"/>
    <s v="Monday"/>
    <n v="9705.8303999999989"/>
    <n v="15501.599999999953"/>
    <n v="14881.535999999955"/>
  </r>
  <r>
    <n v="1046"/>
    <d v="2023-02-09T00:00:00"/>
    <x v="2"/>
    <s v="East"/>
    <n v="9709.7000000000007"/>
    <n v="3"/>
    <s v="Furniture"/>
    <n v="1216.1600000000001"/>
    <n v="1295.3699999999999"/>
    <s v="New"/>
    <n v="0.14000000000000001"/>
    <s v="Cash"/>
    <s v="Retail"/>
    <s v="East-Charlie"/>
    <x v="0"/>
    <s v="Thursday"/>
    <n v="3137.6928000000003"/>
    <n v="237.62999999999943"/>
    <n v="204.3617999999995"/>
  </r>
  <r>
    <n v="1024"/>
    <d v="2023-08-25T00:00:00"/>
    <x v="1"/>
    <s v="South"/>
    <n v="1221.7"/>
    <n v="42"/>
    <s v="Electronics"/>
    <n v="1586.02"/>
    <n v="2047.13"/>
    <s v="New"/>
    <n v="0.25"/>
    <s v="Cash"/>
    <s v="Retail"/>
    <s v="South-David"/>
    <x v="3"/>
    <s v="Friday"/>
    <n v="49959.63"/>
    <n v="19366.620000000006"/>
    <n v="14524.965000000004"/>
  </r>
  <r>
    <n v="1032"/>
    <d v="2023-10-08T00:00:00"/>
    <x v="3"/>
    <s v="East"/>
    <n v="4095.65"/>
    <n v="11"/>
    <s v="Food"/>
    <n v="2025.67"/>
    <n v="2081.5500000000002"/>
    <s v="New"/>
    <n v="0.27"/>
    <s v="Bank Transfer"/>
    <s v="Online"/>
    <s v="East-Eve"/>
    <x v="7"/>
    <s v="Sunday"/>
    <n v="16266.130100000002"/>
    <n v="614.6800000000012"/>
    <n v="448.71640000000087"/>
  </r>
  <r>
    <n v="1047"/>
    <d v="2023-12-25T00:00:00"/>
    <x v="1"/>
    <s v="North"/>
    <n v="7405.06"/>
    <n v="43"/>
    <s v="Electronics"/>
    <n v="1249.17"/>
    <n v="1727.15"/>
    <s v="New"/>
    <n v="0.08"/>
    <s v="Cash"/>
    <s v="Retail"/>
    <s v="North-David"/>
    <x v="9"/>
    <s v="Monday"/>
    <n v="49417.165200000003"/>
    <n v="20553.14"/>
    <n v="18908.888800000001"/>
  </r>
  <r>
    <n v="1086"/>
    <d v="2023-07-20T00:00:00"/>
    <x v="0"/>
    <s v="North"/>
    <n v="7075.09"/>
    <n v="17"/>
    <s v="Food"/>
    <n v="1057.27"/>
    <n v="1366.62"/>
    <s v="New"/>
    <n v="0.21"/>
    <s v="Credit Card"/>
    <s v="Retail"/>
    <s v="North-Bob"/>
    <x v="11"/>
    <s v="Thursday"/>
    <n v="14199.136100000002"/>
    <n v="5258.9499999999989"/>
    <n v="4154.5704999999989"/>
  </r>
  <r>
    <n v="1023"/>
    <d v="2023-09-03T00:00:00"/>
    <x v="1"/>
    <s v="South"/>
    <n v="4285.01"/>
    <n v="32"/>
    <s v="Electronics"/>
    <n v="4775.04"/>
    <n v="4785.66"/>
    <s v="New"/>
    <n v="0.03"/>
    <s v="Cash"/>
    <s v="Online"/>
    <s v="South-David"/>
    <x v="2"/>
    <s v="Sunday"/>
    <n v="148217.24160000001"/>
    <n v="339.83999999999651"/>
    <n v="329.64479999999662"/>
  </r>
  <r>
    <n v="1066"/>
    <d v="2023-10-05T00:00:00"/>
    <x v="4"/>
    <s v="South"/>
    <n v="3530.59"/>
    <n v="4"/>
    <s v="Furniture"/>
    <n v="4596.68"/>
    <n v="5044.74"/>
    <s v="New"/>
    <n v="0.01"/>
    <s v="Bank Transfer"/>
    <s v="Online"/>
    <s v="South-Alice"/>
    <x v="7"/>
    <s v="Thursday"/>
    <n v="18202.852800000001"/>
    <n v="1792.239999999998"/>
    <n v="1774.317599999998"/>
  </r>
  <r>
    <n v="1027"/>
    <d v="2023-08-23T00:00:00"/>
    <x v="0"/>
    <s v="East"/>
    <n v="4036.36"/>
    <n v="4"/>
    <s v="Electronics"/>
    <n v="282.61"/>
    <n v="548.25"/>
    <s v="New"/>
    <n v="0.17"/>
    <s v="Credit Card"/>
    <s v="Online"/>
    <s v="East-Bob"/>
    <x v="3"/>
    <s v="Wednesday"/>
    <n v="938.26520000000005"/>
    <n v="1062.56"/>
    <n v="881.92479999999989"/>
  </r>
  <r>
    <n v="1002"/>
    <d v="2023-01-04T00:00:00"/>
    <x v="0"/>
    <s v="East"/>
    <n v="2716.34"/>
    <n v="17"/>
    <s v="Furniture"/>
    <n v="1727.12"/>
    <n v="1865.83"/>
    <s v="New"/>
    <n v="0.21"/>
    <s v="Cash"/>
    <s v="Online"/>
    <s v="East-Bob"/>
    <x v="5"/>
    <s v="Wednesday"/>
    <n v="23195.221599999997"/>
    <n v="2358.0700000000006"/>
    <n v="1862.8753000000006"/>
  </r>
  <r>
    <n v="1090"/>
    <d v="2023-06-03T00:00:00"/>
    <x v="3"/>
    <s v="North"/>
    <n v="2132.8000000000002"/>
    <n v="41"/>
    <s v="Furniture"/>
    <n v="2055.4899999999998"/>
    <n v="2441.46"/>
    <s v="New"/>
    <n v="0.24"/>
    <s v="Credit Card"/>
    <s v="Online"/>
    <s v="North-Eve"/>
    <x v="6"/>
    <s v="Saturday"/>
    <n v="64049.068399999996"/>
    <n v="15824.770000000011"/>
    <n v="12026.825200000008"/>
  </r>
  <r>
    <n v="1017"/>
    <d v="2023-01-29T00:00:00"/>
    <x v="2"/>
    <s v="South"/>
    <n v="4882.09"/>
    <n v="19"/>
    <s v="Electronics"/>
    <n v="1233.1199999999999"/>
    <n v="1697.1899999999901"/>
    <s v="New"/>
    <n v="0.1"/>
    <s v="Credit Card"/>
    <s v="Online"/>
    <s v="South-Charlie"/>
    <x v="5"/>
    <s v="Sunday"/>
    <n v="21086.351999999999"/>
    <n v="8817.3299999998126"/>
    <n v="7935.5969999998315"/>
  </r>
  <r>
    <n v="1033"/>
    <d v="2023-04-19T00:00:00"/>
    <x v="0"/>
    <s v="South"/>
    <n v="2758.48"/>
    <n v="5"/>
    <s v="Furniture"/>
    <n v="3162.92"/>
    <n v="3409.93"/>
    <s v="New"/>
    <n v="0"/>
    <s v="Cash"/>
    <s v="Online"/>
    <s v="South-Bob"/>
    <x v="1"/>
    <s v="Wednesday"/>
    <n v="15814.6"/>
    <n v="1235.0499999999988"/>
    <n v="1235.0499999999988"/>
  </r>
  <r>
    <n v="1009"/>
    <d v="2023-04-08T00:00:00"/>
    <x v="2"/>
    <s v="South"/>
    <n v="2945.87"/>
    <n v="32"/>
    <s v="Clothing"/>
    <n v="3219.88"/>
    <n v="3384.5"/>
    <s v="Returning"/>
    <n v="0.14000000000000001"/>
    <s v="Cash"/>
    <s v="Retail"/>
    <s v="South-Charlie"/>
    <x v="1"/>
    <s v="Saturday"/>
    <n v="88611.097600000008"/>
    <n v="5267.8399999999965"/>
    <n v="4530.3423999999968"/>
  </r>
  <r>
    <n v="1043"/>
    <d v="2023-08-03T00:00:00"/>
    <x v="1"/>
    <s v="East"/>
    <n v="6601.89"/>
    <n v="22"/>
    <s v="Electronics"/>
    <n v="4260"/>
    <n v="4656.58"/>
    <s v="New"/>
    <n v="0"/>
    <s v="Bank Transfer"/>
    <s v="Online"/>
    <s v="East-David"/>
    <x v="3"/>
    <s v="Thursday"/>
    <n v="93720"/>
    <n v="8724.7599999999984"/>
    <n v="8724.7599999999984"/>
  </r>
  <r>
    <n v="1048"/>
    <d v="2023-10-20T00:00:00"/>
    <x v="4"/>
    <s v="South"/>
    <n v="9688.52"/>
    <n v="6"/>
    <s v="Electronics"/>
    <n v="3717.3"/>
    <n v="4061.37"/>
    <s v="New"/>
    <n v="0.03"/>
    <s v="Bank Transfer"/>
    <s v="Retail"/>
    <s v="South-Alice"/>
    <x v="7"/>
    <s v="Friday"/>
    <n v="21634.686000000002"/>
    <n v="2064.4199999999983"/>
    <n v="2002.4873999999982"/>
  </r>
  <r>
    <n v="1039"/>
    <d v="2023-03-16T00:00:00"/>
    <x v="3"/>
    <s v="North"/>
    <n v="6076.01"/>
    <n v="35"/>
    <s v="Furniture"/>
    <n v="2735.74"/>
    <n v="3181.22999999999"/>
    <s v="New"/>
    <n v="0.1"/>
    <s v="Credit Card"/>
    <s v="Retail"/>
    <s v="North-Eve"/>
    <x v="4"/>
    <s v="Thursday"/>
    <n v="86175.81"/>
    <n v="15592.149999999658"/>
    <n v="14032.934999999692"/>
  </r>
  <r>
    <n v="1093"/>
    <d v="2023-11-22T00:00:00"/>
    <x v="2"/>
    <s v="North"/>
    <n v="862.1"/>
    <n v="22"/>
    <s v="Furniture"/>
    <n v="3285.25"/>
    <n v="3634.58"/>
    <s v="New"/>
    <n v="0.13"/>
    <s v="Bank Transfer"/>
    <s v="Online"/>
    <s v="North-Charlie"/>
    <x v="8"/>
    <s v="Wednesday"/>
    <n v="62879.684999999998"/>
    <n v="7685.2599999999984"/>
    <n v="6686.176199999999"/>
  </r>
  <r>
    <n v="1042"/>
    <d v="2023-05-26T00:00:00"/>
    <x v="0"/>
    <s v="East"/>
    <n v="848.28"/>
    <n v="1"/>
    <s v="Electronics"/>
    <n v="1406.24"/>
    <n v="1535.57"/>
    <s v="New"/>
    <n v="0.08"/>
    <s v="Credit Card"/>
    <s v="Retail"/>
    <s v="East-Bob"/>
    <x v="10"/>
    <s v="Friday"/>
    <n v="1293.7408"/>
    <n v="129.32999999999993"/>
    <n v="118.98359999999994"/>
  </r>
  <r>
    <n v="1026"/>
    <d v="2023-05-08T00:00:00"/>
    <x v="2"/>
    <s v="West"/>
    <n v="9519.09"/>
    <n v="20"/>
    <s v="Clothing"/>
    <n v="2985.63"/>
    <n v="3452.14"/>
    <s v="New"/>
    <n v="0.17"/>
    <s v="Credit Card"/>
    <s v="Retail"/>
    <s v="West-Charlie"/>
    <x v="10"/>
    <s v="Monday"/>
    <n v="49561.458000000006"/>
    <n v="9330.1999999999953"/>
    <n v="7744.0659999999953"/>
  </r>
  <r>
    <n v="1099"/>
    <d v="2023-12-07T00:00:00"/>
    <x v="0"/>
    <s v="East"/>
    <n v="3043.18"/>
    <n v="22"/>
    <s v="Furniture"/>
    <n v="2471.67"/>
    <n v="2533.04"/>
    <s v="Returning"/>
    <n v="0.02"/>
    <s v="Bank Transfer"/>
    <s v="Retail"/>
    <s v="East-Bob"/>
    <x v="9"/>
    <s v="Thursday"/>
    <n v="53289.205200000004"/>
    <n v="1350.1399999999976"/>
    <n v="1323.1371999999976"/>
  </r>
  <r>
    <n v="1050"/>
    <d v="2023-02-11T00:00:00"/>
    <x v="2"/>
    <s v="West"/>
    <n v="1011.46"/>
    <n v="48"/>
    <s v="Furniture"/>
    <n v="710.06"/>
    <n v="851.349999999999"/>
    <s v="Returning"/>
    <n v="0.04"/>
    <s v="Bank Transfer"/>
    <s v="Online"/>
    <s v="West-Charlie"/>
    <x v="0"/>
    <s v="Saturday"/>
    <n v="32719.564799999996"/>
    <n v="6781.9199999999546"/>
    <n v="6510.6431999999559"/>
  </r>
  <r>
    <n v="1025"/>
    <d v="2023-12-22T00:00:00"/>
    <x v="0"/>
    <s v="South"/>
    <n v="6030.54"/>
    <n v="11"/>
    <s v="Food"/>
    <n v="1250.5899999999999"/>
    <n v="1515.48999999999"/>
    <s v="Returning"/>
    <n v="0.21"/>
    <s v="Bank Transfer"/>
    <s v="Retail"/>
    <s v="South-Bob"/>
    <x v="9"/>
    <s v="Friday"/>
    <n v="10867.6271"/>
    <n v="2913.899999999891"/>
    <n v="2301.9809999999138"/>
  </r>
  <r>
    <n v="1024"/>
    <d v="2023-02-10T00:00:00"/>
    <x v="1"/>
    <s v="East"/>
    <n v="6274.12"/>
    <n v="13"/>
    <s v="Clothing"/>
    <n v="1493.88"/>
    <n v="1781.09"/>
    <s v="New"/>
    <n v="0.04"/>
    <s v="Cash"/>
    <s v="Retail"/>
    <s v="East-David"/>
    <x v="0"/>
    <s v="Friday"/>
    <n v="18643.6224"/>
    <n v="3733.7299999999977"/>
    <n v="3584.3807999999976"/>
  </r>
  <r>
    <n v="1013"/>
    <d v="2023-02-03T00:00:00"/>
    <x v="0"/>
    <s v="North"/>
    <n v="6520.2"/>
    <n v="42"/>
    <s v="Clothing"/>
    <n v="4625.33"/>
    <n v="4642.83"/>
    <s v="New"/>
    <n v="0.19"/>
    <s v="Credit Card"/>
    <s v="Online"/>
    <s v="North-Bob"/>
    <x v="0"/>
    <s v="Friday"/>
    <n v="157353.72659999999"/>
    <n v="735"/>
    <n v="595.35"/>
  </r>
  <r>
    <n v="1060"/>
    <d v="2023-01-17T00:00:00"/>
    <x v="0"/>
    <s v="South"/>
    <n v="2747.28"/>
    <n v="3"/>
    <s v="Electronics"/>
    <n v="1190.4100000000001"/>
    <n v="1582.89"/>
    <s v="New"/>
    <n v="0.02"/>
    <s v="Credit Card"/>
    <s v="Retail"/>
    <s v="South-Bob"/>
    <x v="5"/>
    <s v="Tuesday"/>
    <n v="3499.8054000000002"/>
    <n v="1177.44"/>
    <n v="1153.8912"/>
  </r>
  <r>
    <n v="1007"/>
    <d v="2023-06-14T00:00:00"/>
    <x v="4"/>
    <s v="North"/>
    <n v="249.6"/>
    <n v="9"/>
    <s v="Clothing"/>
    <n v="1481.76"/>
    <n v="1668.95"/>
    <s v="Returning"/>
    <n v="0.12"/>
    <s v="Credit Card"/>
    <s v="Retail"/>
    <s v="North-Alice"/>
    <x v="6"/>
    <s v="Wednesday"/>
    <n v="11735.539200000001"/>
    <n v="1684.7100000000005"/>
    <n v="1482.5448000000004"/>
  </r>
  <r>
    <n v="1057"/>
    <d v="2023-06-02T00:00:00"/>
    <x v="0"/>
    <s v="South"/>
    <n v="9653.65"/>
    <n v="12"/>
    <s v="Electronics"/>
    <n v="1878.3"/>
    <n v="2087.4499999999998"/>
    <s v="New"/>
    <n v="0.05"/>
    <s v="Bank Transfer"/>
    <s v="Retail"/>
    <s v="South-Bob"/>
    <x v="6"/>
    <s v="Friday"/>
    <n v="21412.62"/>
    <n v="2509.7999999999984"/>
    <n v="2384.3099999999981"/>
  </r>
  <r>
    <n v="1036"/>
    <d v="2023-03-17T00:00:00"/>
    <x v="4"/>
    <s v="East"/>
    <n v="2583.84"/>
    <n v="23"/>
    <s v="Food"/>
    <n v="3335.53"/>
    <n v="3742.12"/>
    <s v="New"/>
    <n v="0.03"/>
    <s v="Bank Transfer"/>
    <s v="Retail"/>
    <s v="East-Alice"/>
    <x v="4"/>
    <s v="Friday"/>
    <n v="74415.674299999999"/>
    <n v="9351.5699999999924"/>
    <n v="9071.0228999999927"/>
  </r>
  <r>
    <n v="1045"/>
    <d v="2023-03-28T00:00:00"/>
    <x v="3"/>
    <s v="West"/>
    <n v="6792.66"/>
    <n v="14"/>
    <s v="Clothing"/>
    <n v="635.28"/>
    <n v="831.13"/>
    <s v="Returning"/>
    <n v="0.17"/>
    <s v="Bank Transfer"/>
    <s v="Retail"/>
    <s v="West-Eve"/>
    <x v="4"/>
    <s v="Tuesday"/>
    <n v="7381.9535999999998"/>
    <n v="2741.9000000000005"/>
    <n v="2275.7770000000005"/>
  </r>
  <r>
    <n v="1020"/>
    <d v="2023-04-27T00:00:00"/>
    <x v="4"/>
    <s v="South"/>
    <n v="7095.64"/>
    <n v="33"/>
    <s v="Furniture"/>
    <n v="4772.03"/>
    <n v="4805.17"/>
    <s v="Returning"/>
    <n v="0.28000000000000003"/>
    <s v="Bank Transfer"/>
    <s v="Online"/>
    <s v="South-Alice"/>
    <x v="1"/>
    <s v="Thursday"/>
    <n v="113383.4328"/>
    <n v="1093.6200000000108"/>
    <n v="787.40640000000781"/>
  </r>
  <r>
    <n v="1065"/>
    <d v="2023-12-28T00:00:00"/>
    <x v="1"/>
    <s v="West"/>
    <n v="6139.07"/>
    <n v="18"/>
    <s v="Food"/>
    <n v="4334.58"/>
    <n v="4431.04"/>
    <s v="New"/>
    <n v="0.02"/>
    <s v="Bank Transfer"/>
    <s v="Retail"/>
    <s v="West-David"/>
    <x v="9"/>
    <s v="Thursday"/>
    <n v="76461.991200000004"/>
    <n v="1736.2800000000007"/>
    <n v="1701.5544000000007"/>
  </r>
  <r>
    <n v="1008"/>
    <d v="2023-12-08T00:00:00"/>
    <x v="4"/>
    <s v="South"/>
    <n v="3197.78"/>
    <n v="49"/>
    <s v="Electronics"/>
    <n v="2907.22"/>
    <n v="3385.6099999999901"/>
    <s v="New"/>
    <n v="0.13"/>
    <s v="Cash"/>
    <s v="Online"/>
    <s v="South-Alice"/>
    <x v="9"/>
    <s v="Friday"/>
    <n v="123934.7886"/>
    <n v="23441.109999999528"/>
    <n v="20393.765699999589"/>
  </r>
  <r>
    <n v="1016"/>
    <d v="2023-01-27T00:00:00"/>
    <x v="3"/>
    <s v="North"/>
    <n v="2783.85"/>
    <n v="41"/>
    <s v="Food"/>
    <n v="3386.49"/>
    <n v="3430.99"/>
    <s v="New"/>
    <n v="0.21"/>
    <s v="Bank Transfer"/>
    <s v="Retail"/>
    <s v="North-Eve"/>
    <x v="5"/>
    <s v="Friday"/>
    <n v="109688.4111"/>
    <n v="1824.5"/>
    <n v="1441.355"/>
  </r>
  <r>
    <n v="1014"/>
    <d v="2023-11-09T00:00:00"/>
    <x v="1"/>
    <s v="North"/>
    <n v="6016.92"/>
    <n v="9"/>
    <s v="Electronics"/>
    <n v="132.47"/>
    <n v="316.39"/>
    <s v="New"/>
    <n v="0.14000000000000001"/>
    <s v="Credit Card"/>
    <s v="Online"/>
    <s v="North-David"/>
    <x v="8"/>
    <s v="Thursday"/>
    <n v="1025.3178"/>
    <n v="1655.28"/>
    <n v="1423.5408"/>
  </r>
  <r>
    <n v="1076"/>
    <d v="2023-10-14T00:00:00"/>
    <x v="2"/>
    <s v="South"/>
    <n v="8674.35"/>
    <n v="23"/>
    <s v="Food"/>
    <n v="1727.78"/>
    <n v="1984.34"/>
    <s v="Returning"/>
    <n v="0.24"/>
    <s v="Bank Transfer"/>
    <s v="Online"/>
    <s v="South-Charlie"/>
    <x v="7"/>
    <s v="Saturday"/>
    <n v="30201.594400000002"/>
    <n v="5900.8799999999992"/>
    <n v="4484.6687999999995"/>
  </r>
  <r>
    <n v="1087"/>
    <d v="2023-05-14T00:00:00"/>
    <x v="2"/>
    <s v="West"/>
    <n v="9472.66"/>
    <n v="10"/>
    <s v="Electronics"/>
    <n v="3988.52"/>
    <n v="4240.2299999999996"/>
    <s v="New"/>
    <n v="0.05"/>
    <s v="Credit Card"/>
    <s v="Online"/>
    <s v="West-Charlie"/>
    <x v="10"/>
    <s v="Sunday"/>
    <n v="37890.939999999995"/>
    <n v="2517.0999999999958"/>
    <n v="2391.2449999999958"/>
  </r>
  <r>
    <n v="1015"/>
    <d v="2023-08-07T00:00:00"/>
    <x v="4"/>
    <s v="East"/>
    <n v="1148.47"/>
    <n v="19"/>
    <s v="Clothing"/>
    <n v="433.54"/>
    <n v="445.48"/>
    <s v="New"/>
    <n v="0.28999999999999998"/>
    <s v="Bank Transfer"/>
    <s v="Retail"/>
    <s v="East-Alice"/>
    <x v="3"/>
    <s v="Monday"/>
    <n v="5848.4546"/>
    <n v="226.85999999999996"/>
    <n v="161.07059999999996"/>
  </r>
  <r>
    <n v="1092"/>
    <d v="2023-06-17T00:00:00"/>
    <x v="4"/>
    <s v="East"/>
    <n v="1632.8"/>
    <n v="47"/>
    <s v="Furniture"/>
    <n v="1447.45"/>
    <n v="1703.02"/>
    <s v="Returning"/>
    <n v="0.12"/>
    <s v="Bank Transfer"/>
    <s v="Retail"/>
    <s v="East-Alice"/>
    <x v="6"/>
    <s v="Saturday"/>
    <n v="59866.532000000007"/>
    <n v="12011.789999999997"/>
    <n v="10570.375199999997"/>
  </r>
  <r>
    <n v="1098"/>
    <d v="2023-04-08T00:00:00"/>
    <x v="3"/>
    <s v="North"/>
    <n v="9452.89"/>
    <n v="5"/>
    <s v="Electronics"/>
    <n v="2947.22"/>
    <n v="3145.27"/>
    <s v="New"/>
    <n v="0.1"/>
    <s v="Credit Card"/>
    <s v="Retail"/>
    <s v="North-Eve"/>
    <x v="1"/>
    <s v="Saturday"/>
    <n v="13262.49"/>
    <n v="990.25000000000091"/>
    <n v="891.22500000000082"/>
  </r>
  <r>
    <n v="1066"/>
    <d v="2023-09-25T00:00:00"/>
    <x v="3"/>
    <s v="East"/>
    <n v="7391.7"/>
    <n v="47"/>
    <s v="Food"/>
    <n v="1319.24"/>
    <n v="1805.56"/>
    <s v="New"/>
    <n v="0.26"/>
    <s v="Credit Card"/>
    <s v="Retail"/>
    <s v="East-Eve"/>
    <x v="2"/>
    <s v="Monday"/>
    <n v="45883.167199999996"/>
    <n v="22857.039999999997"/>
    <n v="16914.209599999998"/>
  </r>
  <r>
    <n v="1032"/>
    <d v="2023-08-25T00:00:00"/>
    <x v="0"/>
    <s v="North"/>
    <n v="8841.64"/>
    <n v="23"/>
    <s v="Electronics"/>
    <n v="4673.1899999999996"/>
    <n v="4761.1799999999903"/>
    <s v="Returning"/>
    <n v="0.17"/>
    <s v="Credit Card"/>
    <s v="Retail"/>
    <s v="North-Bob"/>
    <x v="3"/>
    <s v="Friday"/>
    <n v="89211.19709999999"/>
    <n v="2023.7699999997858"/>
    <n v="1679.7290999998222"/>
  </r>
  <r>
    <n v="1087"/>
    <d v="2023-11-05T00:00:00"/>
    <x v="3"/>
    <s v="East"/>
    <n v="2106.06"/>
    <n v="30"/>
    <s v="Electronics"/>
    <n v="698.74"/>
    <n v="882.28"/>
    <s v="Returning"/>
    <n v="0.15"/>
    <s v="Credit Card"/>
    <s v="Online"/>
    <s v="East-Eve"/>
    <x v="8"/>
    <s v="Sunday"/>
    <n v="17817.87"/>
    <n v="5506.1999999999989"/>
    <n v="4680.2699999999986"/>
  </r>
  <r>
    <n v="1063"/>
    <d v="2023-06-22T00:00:00"/>
    <x v="0"/>
    <s v="South"/>
    <n v="5917.1"/>
    <n v="25"/>
    <s v="Electronics"/>
    <n v="3997.1"/>
    <n v="4212.6499999999996"/>
    <s v="New"/>
    <n v="0.22"/>
    <s v="Cash"/>
    <s v="Online"/>
    <s v="South-Bob"/>
    <x v="6"/>
    <s v="Thursday"/>
    <n v="77943.45"/>
    <n v="5388.7499999999927"/>
    <n v="4203.2249999999949"/>
  </r>
  <r>
    <n v="1086"/>
    <d v="2023-07-09T00:00:00"/>
    <x v="1"/>
    <s v="North"/>
    <n v="7041.28"/>
    <n v="28"/>
    <s v="Food"/>
    <n v="2564.35"/>
    <n v="2765.79"/>
    <s v="Returning"/>
    <n v="0.17"/>
    <s v="Credit Card"/>
    <s v="Online"/>
    <s v="North-David"/>
    <x v="11"/>
    <s v="Sunday"/>
    <n v="59595.493999999999"/>
    <n v="5640.3200000000015"/>
    <n v="4681.4656000000014"/>
  </r>
  <r>
    <n v="1051"/>
    <d v="2023-05-02T00:00:00"/>
    <x v="4"/>
    <s v="North"/>
    <n v="6833.11"/>
    <n v="34"/>
    <s v="Furniture"/>
    <n v="3764.14"/>
    <n v="4100.3999999999996"/>
    <s v="Returning"/>
    <n v="0.05"/>
    <s v="Bank Transfer"/>
    <s v="Retail"/>
    <s v="North-Alice"/>
    <x v="10"/>
    <s v="Tuesday"/>
    <n v="121581.72199999999"/>
    <n v="11432.839999999993"/>
    <n v="10861.197999999993"/>
  </r>
  <r>
    <n v="1025"/>
    <d v="2023-02-15T00:00:00"/>
    <x v="1"/>
    <s v="South"/>
    <n v="4140.7"/>
    <n v="45"/>
    <s v="Clothing"/>
    <n v="1588.04"/>
    <n v="1703.6399999999901"/>
    <s v="New"/>
    <n v="0.2"/>
    <s v="Bank Transfer"/>
    <s v="Retail"/>
    <s v="South-David"/>
    <x v="0"/>
    <s v="Wednesday"/>
    <n v="57169.440000000002"/>
    <n v="5201.9999999995562"/>
    <n v="4161.5999999996448"/>
  </r>
  <r>
    <n v="1058"/>
    <d v="2023-03-05T00:00:00"/>
    <x v="3"/>
    <s v="North"/>
    <n v="252.41"/>
    <n v="48"/>
    <s v="Furniture"/>
    <n v="2596.7199999999998"/>
    <n v="2715.0499999999902"/>
    <s v="Returning"/>
    <n v="0.04"/>
    <s v="Cash"/>
    <s v="Online"/>
    <s v="North-Eve"/>
    <x v="4"/>
    <s v="Sunday"/>
    <n v="119656.85759999999"/>
    <n v="5679.8399999995381"/>
    <n v="5452.6463999995567"/>
  </r>
  <r>
    <n v="1063"/>
    <d v="2023-05-10T00:00:00"/>
    <x v="1"/>
    <s v="East"/>
    <n v="5870.97"/>
    <n v="47"/>
    <s v="Electronics"/>
    <n v="4291.33"/>
    <n v="4658.6400000000003"/>
    <s v="New"/>
    <n v="0.24"/>
    <s v="Credit Card"/>
    <s v="Retail"/>
    <s v="East-David"/>
    <x v="10"/>
    <s v="Wednesday"/>
    <n v="153286.3076"/>
    <n v="17263.570000000018"/>
    <n v="13120.313200000013"/>
  </r>
  <r>
    <n v="1062"/>
    <d v="2023-11-06T00:00:00"/>
    <x v="1"/>
    <s v="East"/>
    <n v="2605.71"/>
    <n v="25"/>
    <s v="Food"/>
    <n v="2361.0500000000002"/>
    <n v="2616.19"/>
    <s v="New"/>
    <n v="0.3"/>
    <s v="Bank Transfer"/>
    <s v="Retail"/>
    <s v="East-David"/>
    <x v="8"/>
    <s v="Monday"/>
    <n v="41318.375"/>
    <n v="6378.4999999999964"/>
    <n v="4464.9499999999971"/>
  </r>
  <r>
    <n v="1022"/>
    <d v="2023-12-29T00:00:00"/>
    <x v="1"/>
    <s v="North"/>
    <n v="4557.5200000000004"/>
    <n v="10"/>
    <s v="Furniture"/>
    <n v="1830.61"/>
    <n v="2044.04"/>
    <s v="New"/>
    <n v="0.11"/>
    <s v="Cash"/>
    <s v="Online"/>
    <s v="North-David"/>
    <x v="9"/>
    <s v="Friday"/>
    <n v="16292.428999999998"/>
    <n v="2134.3000000000006"/>
    <n v="1899.5270000000005"/>
  </r>
  <r>
    <n v="1058"/>
    <d v="2023-07-12T00:00:00"/>
    <x v="3"/>
    <s v="East"/>
    <n v="9580.0499999999993"/>
    <n v="14"/>
    <s v="Electronics"/>
    <n v="2703.97"/>
    <n v="2796.8799999999901"/>
    <s v="New"/>
    <n v="0.13"/>
    <s v="Bank Transfer"/>
    <s v="Online"/>
    <s v="East-Eve"/>
    <x v="11"/>
    <s v="Wednesday"/>
    <n v="32934.354599999991"/>
    <n v="1300.7399999998643"/>
    <n v="1131.6437999998818"/>
  </r>
  <r>
    <n v="1058"/>
    <d v="2023-11-03T00:00:00"/>
    <x v="1"/>
    <s v="West"/>
    <n v="4050.45"/>
    <n v="42"/>
    <s v="Clothing"/>
    <n v="3600.95"/>
    <n v="3702.8399999999901"/>
    <s v="Returning"/>
    <n v="0.01"/>
    <s v="Cash"/>
    <s v="Retail"/>
    <s v="West-David"/>
    <x v="8"/>
    <s v="Friday"/>
    <n v="149727.50099999999"/>
    <n v="4279.3799999995936"/>
    <n v="4236.5861999995977"/>
  </r>
  <r>
    <n v="1086"/>
    <d v="2023-06-30T00:00:00"/>
    <x v="0"/>
    <s v="North"/>
    <n v="8414.0400000000009"/>
    <n v="46"/>
    <s v="Clothing"/>
    <n v="2245.64"/>
    <n v="2260.81"/>
    <s v="New"/>
    <n v="0"/>
    <s v="Cash"/>
    <s v="Retail"/>
    <s v="North-Bob"/>
    <x v="6"/>
    <s v="Friday"/>
    <n v="103299.43999999999"/>
    <n v="697.82000000000335"/>
    <n v="697.82000000000335"/>
  </r>
  <r>
    <n v="1049"/>
    <d v="2023-10-19T00:00:00"/>
    <x v="3"/>
    <s v="South"/>
    <n v="1966.55"/>
    <n v="30"/>
    <s v="Clothing"/>
    <n v="4697.4399999999996"/>
    <n v="4752.24"/>
    <s v="New"/>
    <n v="0.28000000000000003"/>
    <s v="Credit Card"/>
    <s v="Online"/>
    <s v="South-Eve"/>
    <x v="7"/>
    <s v="Thursday"/>
    <n v="101464.70399999998"/>
    <n v="1644.0000000000055"/>
    <n v="1183.6800000000039"/>
  </r>
  <r>
    <n v="1052"/>
    <d v="2023-10-09T00:00:00"/>
    <x v="1"/>
    <s v="West"/>
    <n v="6757.36"/>
    <n v="41"/>
    <s v="Electronics"/>
    <n v="1509.98"/>
    <n v="1792.83"/>
    <s v="New"/>
    <n v="0.04"/>
    <s v="Cash"/>
    <s v="Retail"/>
    <s v="West-David"/>
    <x v="7"/>
    <s v="Monday"/>
    <n v="59432.8128"/>
    <n v="11596.849999999997"/>
    <n v="11132.975999999997"/>
  </r>
  <r>
    <n v="1042"/>
    <d v="2023-01-29T00:00:00"/>
    <x v="3"/>
    <s v="North"/>
    <n v="9772.3700000000008"/>
    <n v="25"/>
    <s v="Food"/>
    <n v="2403.54"/>
    <n v="2850.56"/>
    <s v="New"/>
    <n v="0.13"/>
    <s v="Bank Transfer"/>
    <s v="Online"/>
    <s v="North-Eve"/>
    <x v="5"/>
    <s v="Sunday"/>
    <n v="52276.995000000003"/>
    <n v="11175.5"/>
    <n v="9722.6849999999995"/>
  </r>
  <r>
    <n v="1070"/>
    <d v="2023-05-29T00:00:00"/>
    <x v="2"/>
    <s v="South"/>
    <n v="1108.74"/>
    <n v="14"/>
    <s v="Furniture"/>
    <n v="3796.79"/>
    <n v="3947.5"/>
    <s v="Returning"/>
    <n v="0.24"/>
    <s v="Bank Transfer"/>
    <s v="Online"/>
    <s v="South-Charlie"/>
    <x v="10"/>
    <s v="Monday"/>
    <n v="40397.845600000001"/>
    <n v="2109.9400000000005"/>
    <n v="1603.5544000000004"/>
  </r>
  <r>
    <n v="1015"/>
    <d v="2023-09-24T00:00:00"/>
    <x v="0"/>
    <s v="East"/>
    <n v="182.37"/>
    <n v="35"/>
    <s v="Clothing"/>
    <n v="3461.15"/>
    <n v="3631.75"/>
    <s v="Returning"/>
    <n v="0.27"/>
    <s v="Credit Card"/>
    <s v="Online"/>
    <s v="East-Bob"/>
    <x v="2"/>
    <s v="Sunday"/>
    <n v="88432.382499999992"/>
    <n v="5970.9999999999964"/>
    <n v="4358.8299999999972"/>
  </r>
  <r>
    <n v="1054"/>
    <d v="2023-10-23T00:00:00"/>
    <x v="1"/>
    <s v="South"/>
    <n v="4392.47"/>
    <n v="48"/>
    <s v="Electronics"/>
    <n v="4325.0200000000004"/>
    <n v="4391.67"/>
    <s v="Returning"/>
    <n v="0.16"/>
    <s v="Credit Card"/>
    <s v="Retail"/>
    <s v="South-David"/>
    <x v="7"/>
    <s v="Monday"/>
    <n v="174384.8064"/>
    <n v="3199.1999999999825"/>
    <n v="2687.3279999999854"/>
  </r>
  <r>
    <n v="1060"/>
    <d v="2023-01-11T00:00:00"/>
    <x v="2"/>
    <s v="West"/>
    <n v="1016.99"/>
    <n v="34"/>
    <s v="Electronics"/>
    <n v="4984.21"/>
    <n v="5184.6400000000003"/>
    <s v="New"/>
    <n v="0.17"/>
    <s v="Cash"/>
    <s v="Online"/>
    <s v="West-Charlie"/>
    <x v="5"/>
    <s v="Wednesday"/>
    <n v="140654.4062"/>
    <n v="6814.6200000000099"/>
    <n v="5656.1346000000076"/>
  </r>
  <r>
    <n v="1097"/>
    <d v="2023-06-13T00:00:00"/>
    <x v="2"/>
    <s v="East"/>
    <n v="7509.01"/>
    <n v="10"/>
    <s v="Furniture"/>
    <n v="2162.9499999999998"/>
    <n v="2191.1899999999901"/>
    <s v="Returning"/>
    <n v="0.2"/>
    <s v="Credit Card"/>
    <s v="Online"/>
    <s v="East-Charlie"/>
    <x v="6"/>
    <s v="Tuesday"/>
    <n v="17303.600000000002"/>
    <n v="282.39999999990232"/>
    <n v="225.91999999992186"/>
  </r>
  <r>
    <n v="1008"/>
    <d v="2023-04-23T00:00:00"/>
    <x v="3"/>
    <s v="North"/>
    <n v="9154.0300000000007"/>
    <n v="35"/>
    <s v="Clothing"/>
    <n v="600.20000000000005"/>
    <n v="1059.82"/>
    <s v="Returning"/>
    <n v="0.28999999999999998"/>
    <s v="Bank Transfer"/>
    <s v="Retail"/>
    <s v="North-Eve"/>
    <x v="1"/>
    <s v="Sunday"/>
    <n v="14914.97"/>
    <n v="16086.699999999997"/>
    <n v="11421.556999999997"/>
  </r>
  <r>
    <n v="1053"/>
    <d v="2023-07-06T00:00:00"/>
    <x v="2"/>
    <s v="East"/>
    <n v="4396.8100000000004"/>
    <n v="11"/>
    <s v="Electronics"/>
    <n v="200.56"/>
    <n v="540.38"/>
    <s v="New"/>
    <n v="0.18"/>
    <s v="Bank Transfer"/>
    <s v="Online"/>
    <s v="East-Charlie"/>
    <x v="11"/>
    <s v="Thursday"/>
    <n v="1809.0512000000001"/>
    <n v="3738.02"/>
    <n v="3065.1764000000003"/>
  </r>
  <r>
    <n v="1060"/>
    <d v="2023-10-22T00:00:00"/>
    <x v="0"/>
    <s v="North"/>
    <n v="2661.25"/>
    <n v="11"/>
    <s v="Furniture"/>
    <n v="3648.04"/>
    <n v="4143.51"/>
    <s v="Returning"/>
    <n v="0.17"/>
    <s v="Credit Card"/>
    <s v="Retail"/>
    <s v="North-Bob"/>
    <x v="7"/>
    <s v="Sunday"/>
    <n v="33306.605199999998"/>
    <n v="5450.1700000000028"/>
    <n v="4523.6411000000026"/>
  </r>
  <r>
    <n v="1005"/>
    <d v="2023-08-20T00:00:00"/>
    <x v="0"/>
    <s v="North"/>
    <n v="4400.59"/>
    <n v="21"/>
    <s v="Food"/>
    <n v="4376.37"/>
    <n v="4818.95"/>
    <s v="New"/>
    <n v="0"/>
    <s v="Credit Card"/>
    <s v="Retail"/>
    <s v="North-Bob"/>
    <x v="3"/>
    <s v="Sunday"/>
    <n v="91903.77"/>
    <n v="9294.1799999999985"/>
    <n v="9294.1799999999985"/>
  </r>
  <r>
    <n v="1068"/>
    <d v="2023-08-15T00:00:00"/>
    <x v="4"/>
    <s v="South"/>
    <n v="7262.13"/>
    <n v="21"/>
    <s v="Food"/>
    <n v="1142.53"/>
    <n v="1384.3"/>
    <s v="Returning"/>
    <n v="0.02"/>
    <s v="Credit Card"/>
    <s v="Retail"/>
    <s v="South-Alice"/>
    <x v="3"/>
    <s v="Tuesday"/>
    <n v="23513.267400000001"/>
    <n v="5077.17"/>
    <n v="4975.6265999999996"/>
  </r>
  <r>
    <n v="1006"/>
    <d v="2023-11-06T00:00:00"/>
    <x v="0"/>
    <s v="South"/>
    <n v="189.64"/>
    <n v="22"/>
    <s v="Food"/>
    <n v="834.32"/>
    <n v="1098.97"/>
    <s v="Returning"/>
    <n v="0.17"/>
    <s v="Cash"/>
    <s v="Online"/>
    <s v="South-Bob"/>
    <x v="8"/>
    <s v="Monday"/>
    <n v="15234.683199999999"/>
    <n v="5822.2999999999993"/>
    <n v="4832.5089999999991"/>
  </r>
  <r>
    <n v="1096"/>
    <d v="2023-04-08T00:00:00"/>
    <x v="2"/>
    <s v="South"/>
    <n v="5935.59"/>
    <n v="45"/>
    <s v="Clothing"/>
    <n v="357.92"/>
    <n v="461.3"/>
    <s v="Returning"/>
    <n v="0.28000000000000003"/>
    <s v="Cash"/>
    <s v="Online"/>
    <s v="South-Charlie"/>
    <x v="1"/>
    <s v="Saturday"/>
    <n v="11596.608"/>
    <n v="4652.0999999999995"/>
    <n v="3349.5119999999993"/>
  </r>
  <r>
    <n v="1094"/>
    <d v="2023-02-24T00:00:00"/>
    <x v="0"/>
    <s v="West"/>
    <n v="6171.59"/>
    <n v="7"/>
    <s v="Furniture"/>
    <n v="4122.38"/>
    <n v="4358.78"/>
    <s v="Returning"/>
    <n v="0.26"/>
    <s v="Bank Transfer"/>
    <s v="Retail"/>
    <s v="West-Bob"/>
    <x v="0"/>
    <s v="Friday"/>
    <n v="21353.928400000001"/>
    <n v="1654.7999999999975"/>
    <n v="1224.5519999999981"/>
  </r>
  <r>
    <n v="1047"/>
    <d v="2023-04-21T00:00:00"/>
    <x v="3"/>
    <s v="West"/>
    <n v="6413.11"/>
    <n v="17"/>
    <s v="Furniture"/>
    <n v="1591.34"/>
    <n v="2043.82"/>
    <s v="New"/>
    <n v="0.28999999999999998"/>
    <s v="Cash"/>
    <s v="Retail"/>
    <s v="West-Eve"/>
    <x v="1"/>
    <s v="Friday"/>
    <n v="19207.4738"/>
    <n v="7692.16"/>
    <n v="5461.4335999999994"/>
  </r>
  <r>
    <n v="1099"/>
    <d v="2023-06-01T00:00:00"/>
    <x v="4"/>
    <s v="South"/>
    <n v="2496.02"/>
    <n v="2"/>
    <s v="Electronics"/>
    <n v="2038.4"/>
    <n v="2073.3200000000002"/>
    <s v="New"/>
    <n v="0.16"/>
    <s v="Cash"/>
    <s v="Retail"/>
    <s v="South-Alice"/>
    <x v="6"/>
    <s v="Thursday"/>
    <n v="3424.5120000000002"/>
    <n v="69.840000000000146"/>
    <n v="58.665600000000119"/>
  </r>
  <r>
    <n v="1055"/>
    <d v="2023-09-03T00:00:00"/>
    <x v="2"/>
    <s v="West"/>
    <n v="7169.12"/>
    <n v="12"/>
    <s v="Electronics"/>
    <n v="2538.61"/>
    <n v="2971.75"/>
    <s v="Returning"/>
    <n v="0.24"/>
    <s v="Cash"/>
    <s v="Online"/>
    <s v="West-Charlie"/>
    <x v="2"/>
    <s v="Sunday"/>
    <n v="23152.123200000002"/>
    <n v="5197.6799999999985"/>
    <n v="3950.2367999999988"/>
  </r>
  <r>
    <n v="1040"/>
    <d v="2023-03-10T00:00:00"/>
    <x v="4"/>
    <s v="East"/>
    <n v="1004.78"/>
    <n v="42"/>
    <s v="Electronics"/>
    <n v="4205.29"/>
    <n v="4382.3500000000004"/>
    <s v="New"/>
    <n v="0.25"/>
    <s v="Cash"/>
    <s v="Retail"/>
    <s v="East-Alice"/>
    <x v="4"/>
    <s v="Friday"/>
    <n v="132466.63500000001"/>
    <n v="7436.5200000000168"/>
    <n v="5577.3900000000122"/>
  </r>
  <r>
    <n v="1052"/>
    <d v="2023-11-08T00:00:00"/>
    <x v="2"/>
    <s v="East"/>
    <n v="2072.7800000000002"/>
    <n v="18"/>
    <s v="Furniture"/>
    <n v="3271.62"/>
    <n v="3722.38"/>
    <s v="Returning"/>
    <n v="0.19"/>
    <s v="Bank Transfer"/>
    <s v="Retail"/>
    <s v="East-Charlie"/>
    <x v="8"/>
    <s v="Wednesday"/>
    <n v="47700.219599999997"/>
    <n v="8113.6800000000039"/>
    <n v="6572.0808000000034"/>
  </r>
  <r>
    <n v="1016"/>
    <d v="2023-10-16T00:00:00"/>
    <x v="3"/>
    <s v="West"/>
    <n v="8786.9500000000007"/>
    <n v="11"/>
    <s v="Electronics"/>
    <n v="3094.57"/>
    <n v="3565.6"/>
    <s v="Returning"/>
    <n v="0.1"/>
    <s v="Credit Card"/>
    <s v="Retail"/>
    <s v="West-Eve"/>
    <x v="7"/>
    <s v="Monday"/>
    <n v="30636.243000000006"/>
    <n v="5181.3299999999972"/>
    <n v="4663.1969999999974"/>
  </r>
  <r>
    <n v="1013"/>
    <d v="2023-09-07T00:00:00"/>
    <x v="4"/>
    <s v="West"/>
    <n v="7413.36"/>
    <n v="16"/>
    <s v="Furniture"/>
    <n v="919.58"/>
    <n v="1258.3"/>
    <s v="Returning"/>
    <n v="0.14000000000000001"/>
    <s v="Bank Transfer"/>
    <s v="Online"/>
    <s v="West-Alice"/>
    <x v="2"/>
    <s v="Thursday"/>
    <n v="12653.4208"/>
    <n v="5419.5199999999986"/>
    <n v="4660.7871999999988"/>
  </r>
  <r>
    <n v="1030"/>
    <d v="2023-02-05T00:00:00"/>
    <x v="1"/>
    <s v="East"/>
    <n v="236.08"/>
    <n v="49"/>
    <s v="Furniture"/>
    <n v="2590.29"/>
    <n v="2925.86"/>
    <s v="Returning"/>
    <n v="0.26"/>
    <s v="Cash"/>
    <s v="Retail"/>
    <s v="East-David"/>
    <x v="0"/>
    <s v="Sunday"/>
    <n v="93923.915399999998"/>
    <n v="16442.930000000008"/>
    <n v="12167.768200000006"/>
  </r>
  <r>
    <n v="1019"/>
    <d v="2023-08-27T00:00:00"/>
    <x v="2"/>
    <s v="North"/>
    <n v="2558.92"/>
    <n v="18"/>
    <s v="Food"/>
    <n v="3591.14"/>
    <n v="3822.99"/>
    <s v="Returning"/>
    <n v="0.09"/>
    <s v="Credit Card"/>
    <s v="Online"/>
    <s v="North-Charlie"/>
    <x v="3"/>
    <s v="Sunday"/>
    <n v="58822.873200000002"/>
    <n v="4173.2999999999984"/>
    <n v="3797.7029999999986"/>
  </r>
  <r>
    <n v="1017"/>
    <d v="2023-05-28T00:00:00"/>
    <x v="1"/>
    <s v="East"/>
    <n v="2222.62"/>
    <n v="35"/>
    <s v="Electronics"/>
    <n v="4867.6400000000003"/>
    <n v="5287.05"/>
    <s v="Returning"/>
    <n v="0.28000000000000003"/>
    <s v="Credit Card"/>
    <s v="Online"/>
    <s v="East-David"/>
    <x v="10"/>
    <s v="Sunday"/>
    <n v="122664.52800000001"/>
    <n v="14679.349999999995"/>
    <n v="10569.131999999996"/>
  </r>
  <r>
    <n v="1063"/>
    <d v="2023-08-15T00:00:00"/>
    <x v="4"/>
    <s v="East"/>
    <n v="2780.98"/>
    <n v="26"/>
    <s v="Food"/>
    <n v="1046.96"/>
    <n v="1528.15"/>
    <s v="New"/>
    <n v="7.0000000000000007E-2"/>
    <s v="Credit Card"/>
    <s v="Retail"/>
    <s v="East-Alice"/>
    <x v="3"/>
    <s v="Tuesday"/>
    <n v="25315.492799999996"/>
    <n v="12510.940000000002"/>
    <n v="11635.174200000001"/>
  </r>
  <r>
    <n v="1019"/>
    <d v="2023-09-01T00:00:00"/>
    <x v="1"/>
    <s v="West"/>
    <n v="2550.84"/>
    <n v="16"/>
    <s v="Clothing"/>
    <n v="97.24"/>
    <n v="487.03"/>
    <s v="New"/>
    <n v="0.22"/>
    <s v="Bank Transfer"/>
    <s v="Retail"/>
    <s v="West-David"/>
    <x v="2"/>
    <s v="Friday"/>
    <n v="1213.5552"/>
    <n v="6236.6399999999994"/>
    <n v="4864.5792000000001"/>
  </r>
  <r>
    <n v="1092"/>
    <d v="2023-12-03T00:00:00"/>
    <x v="1"/>
    <s v="East"/>
    <n v="719.01"/>
    <n v="6"/>
    <s v="Clothing"/>
    <n v="422.74"/>
    <n v="737.49"/>
    <s v="Returning"/>
    <n v="0.19"/>
    <s v="Credit Card"/>
    <s v="Retail"/>
    <s v="East-David"/>
    <x v="9"/>
    <s v="Sunday"/>
    <n v="2054.5164"/>
    <n v="1888.5"/>
    <n v="1529.6850000000002"/>
  </r>
  <r>
    <n v="1058"/>
    <d v="2023-12-31T00:00:00"/>
    <x v="4"/>
    <s v="West"/>
    <n v="4643.51"/>
    <n v="44"/>
    <s v="Clothing"/>
    <n v="1910.47"/>
    <n v="2217.8000000000002"/>
    <s v="New"/>
    <n v="0.22"/>
    <s v="Bank Transfer"/>
    <s v="Online"/>
    <s v="West-Alice"/>
    <x v="9"/>
    <s v="Sunday"/>
    <n v="65567.330400000006"/>
    <n v="13522.520000000008"/>
    <n v="10547.565600000007"/>
  </r>
  <r>
    <n v="1055"/>
    <d v="2023-07-20T00:00:00"/>
    <x v="3"/>
    <s v="West"/>
    <n v="7354.06"/>
    <n v="43"/>
    <s v="Furniture"/>
    <n v="4111.7"/>
    <n v="4537.9399999999996"/>
    <s v="Returning"/>
    <n v="0.13"/>
    <s v="Bank Transfer"/>
    <s v="Online"/>
    <s v="West-Eve"/>
    <x v="11"/>
    <s v="Thursday"/>
    <n v="153818.69700000001"/>
    <n v="18328.319999999992"/>
    <n v="15945.638399999993"/>
  </r>
  <r>
    <n v="1090"/>
    <d v="2023-06-03T00:00:00"/>
    <x v="1"/>
    <s v="South"/>
    <n v="6106.64"/>
    <n v="47"/>
    <s v="Furniture"/>
    <n v="85.35"/>
    <n v="360.539999999999"/>
    <s v="New"/>
    <n v="0.28000000000000003"/>
    <s v="Cash"/>
    <s v="Online"/>
    <s v="South-David"/>
    <x v="6"/>
    <s v="Saturday"/>
    <n v="2888.2439999999997"/>
    <n v="12933.929999999955"/>
    <n v="9312.4295999999667"/>
  </r>
  <r>
    <n v="1090"/>
    <d v="2023-03-14T00:00:00"/>
    <x v="1"/>
    <s v="East"/>
    <n v="6761.43"/>
    <n v="47"/>
    <s v="Furniture"/>
    <n v="2310.8200000000002"/>
    <n v="2714.71"/>
    <s v="New"/>
    <n v="0.19"/>
    <s v="Cash"/>
    <s v="Retail"/>
    <s v="East-David"/>
    <x v="4"/>
    <s v="Tuesday"/>
    <n v="87972.917400000006"/>
    <n v="18982.829999999994"/>
    <n v="15376.092299999997"/>
  </r>
  <r>
    <n v="1062"/>
    <d v="2023-07-20T00:00:00"/>
    <x v="3"/>
    <s v="North"/>
    <n v="903.38"/>
    <n v="48"/>
    <s v="Electronics"/>
    <n v="1679.69"/>
    <n v="1939.04"/>
    <s v="New"/>
    <n v="0.09"/>
    <s v="Credit Card"/>
    <s v="Online"/>
    <s v="North-Eve"/>
    <x v="11"/>
    <s v="Thursday"/>
    <n v="73368.859199999992"/>
    <n v="12448.799999999996"/>
    <n v="11328.407999999996"/>
  </r>
  <r>
    <n v="1023"/>
    <d v="2023-10-23T00:00:00"/>
    <x v="1"/>
    <s v="South"/>
    <n v="9519.76"/>
    <n v="42"/>
    <s v="Food"/>
    <n v="309.77999999999997"/>
    <n v="350.38"/>
    <s v="Returning"/>
    <n v="0.19"/>
    <s v="Credit Card"/>
    <s v="Retail"/>
    <s v="South-David"/>
    <x v="7"/>
    <s v="Monday"/>
    <n v="10538.7156"/>
    <n v="1705.200000000001"/>
    <n v="1381.2120000000009"/>
  </r>
  <r>
    <n v="1009"/>
    <d v="2023-01-17T00:00:00"/>
    <x v="1"/>
    <s v="West"/>
    <n v="8401.07"/>
    <n v="12"/>
    <s v="Furniture"/>
    <n v="2278.67"/>
    <n v="2476.8000000000002"/>
    <s v="New"/>
    <n v="0.09"/>
    <s v="Cash"/>
    <s v="Retail"/>
    <s v="West-David"/>
    <x v="5"/>
    <s v="Tuesday"/>
    <n v="24883.076400000002"/>
    <n v="2377.5600000000013"/>
    <n v="2163.5796000000014"/>
  </r>
  <r>
    <n v="1012"/>
    <d v="2023-05-09T00:00:00"/>
    <x v="1"/>
    <s v="West"/>
    <n v="8070.39"/>
    <n v="13"/>
    <s v="Food"/>
    <n v="1311.01"/>
    <n v="1538.79"/>
    <s v="Returning"/>
    <n v="0.09"/>
    <s v="Bank Transfer"/>
    <s v="Retail"/>
    <s v="West-David"/>
    <x v="10"/>
    <s v="Tuesday"/>
    <n v="15509.248300000001"/>
    <n v="2961.1399999999994"/>
    <n v="2694.6373999999996"/>
  </r>
  <r>
    <n v="1001"/>
    <d v="2023-08-05T00:00:00"/>
    <x v="0"/>
    <s v="North"/>
    <n v="8247.5400000000009"/>
    <n v="4"/>
    <s v="Food"/>
    <n v="1791.83"/>
    <n v="1871.22"/>
    <s v="Returning"/>
    <n v="0.12"/>
    <s v="Bank Transfer"/>
    <s v="Online"/>
    <s v="North-Bob"/>
    <x v="3"/>
    <s v="Saturday"/>
    <n v="6307.2415999999994"/>
    <n v="317.5600000000004"/>
    <n v="279.45280000000037"/>
  </r>
  <r>
    <n v="1058"/>
    <d v="2023-03-02T00:00:00"/>
    <x v="3"/>
    <s v="West"/>
    <n v="9333.83"/>
    <n v="39"/>
    <s v="Food"/>
    <n v="3542.8"/>
    <n v="3603.02"/>
    <s v="Returning"/>
    <n v="0.26"/>
    <s v="Cash"/>
    <s v="Online"/>
    <s v="West-Eve"/>
    <x v="4"/>
    <s v="Thursday"/>
    <n v="102245.20800000001"/>
    <n v="2348.5799999999922"/>
    <n v="1737.9491999999941"/>
  </r>
  <r>
    <n v="1001"/>
    <d v="2023-04-14T00:00:00"/>
    <x v="1"/>
    <s v="East"/>
    <n v="5488.11"/>
    <n v="2"/>
    <s v="Electronics"/>
    <n v="2631.68"/>
    <n v="2904.06"/>
    <s v="New"/>
    <n v="0.15"/>
    <s v="Bank Transfer"/>
    <s v="Online"/>
    <s v="East-David"/>
    <x v="1"/>
    <s v="Friday"/>
    <n v="4473.8559999999998"/>
    <n v="544.76000000000022"/>
    <n v="463.04600000000016"/>
  </r>
  <r>
    <n v="1034"/>
    <d v="2023-02-11T00:00:00"/>
    <x v="3"/>
    <s v="South"/>
    <n v="2082.79"/>
    <n v="26"/>
    <s v="Electronics"/>
    <n v="667"/>
    <n v="718.72"/>
    <s v="New"/>
    <n v="0.2"/>
    <s v="Cash"/>
    <s v="Retail"/>
    <s v="South-Eve"/>
    <x v="0"/>
    <s v="Saturday"/>
    <n v="13873.6"/>
    <n v="1344.7200000000007"/>
    <n v="1075.7760000000005"/>
  </r>
  <r>
    <n v="1096"/>
    <d v="2023-01-25T00:00:00"/>
    <x v="2"/>
    <s v="West"/>
    <n v="6206.16"/>
    <n v="27"/>
    <s v="Clothing"/>
    <n v="4809"/>
    <n v="4967.4399999999996"/>
    <s v="New"/>
    <n v="0.12"/>
    <s v="Cash"/>
    <s v="Online"/>
    <s v="West-Charlie"/>
    <x v="5"/>
    <s v="Wednesday"/>
    <n v="114261.84"/>
    <n v="4277.8799999999892"/>
    <n v="3764.5343999999905"/>
  </r>
  <r>
    <n v="1048"/>
    <d v="2023-02-08T00:00:00"/>
    <x v="2"/>
    <s v="West"/>
    <n v="7454.53"/>
    <n v="27"/>
    <s v="Clothing"/>
    <n v="3197.76"/>
    <n v="3572.61"/>
    <s v="Returning"/>
    <n v="0.08"/>
    <s v="Credit Card"/>
    <s v="Online"/>
    <s v="West-Charlie"/>
    <x v="0"/>
    <s v="Wednesday"/>
    <n v="79432.358400000012"/>
    <n v="10120.949999999997"/>
    <n v="9311.2739999999976"/>
  </r>
  <r>
    <n v="1089"/>
    <d v="2023-10-18T00:00:00"/>
    <x v="1"/>
    <s v="North"/>
    <n v="7405.38"/>
    <n v="15"/>
    <s v="Food"/>
    <n v="3841.05"/>
    <n v="4323.62"/>
    <s v="Returning"/>
    <n v="0.28999999999999998"/>
    <s v="Credit Card"/>
    <s v="Retail"/>
    <s v="North-David"/>
    <x v="7"/>
    <s v="Wednesday"/>
    <n v="40907.182499999995"/>
    <n v="7238.5499999999956"/>
    <n v="5139.3704999999964"/>
  </r>
  <r>
    <n v="1001"/>
    <d v="2023-05-11T00:00:00"/>
    <x v="3"/>
    <s v="East"/>
    <n v="5262.35"/>
    <n v="8"/>
    <s v="Clothing"/>
    <n v="442.11"/>
    <n v="803.87"/>
    <s v="New"/>
    <n v="0.18"/>
    <s v="Cash"/>
    <s v="Retail"/>
    <s v="East-Eve"/>
    <x v="10"/>
    <s v="Thursday"/>
    <n v="2900.2416000000003"/>
    <n v="2894.08"/>
    <n v="2373.1456000000003"/>
  </r>
  <r>
    <n v="1016"/>
    <d v="2023-08-17T00:00:00"/>
    <x v="3"/>
    <s v="West"/>
    <n v="777.74"/>
    <n v="7"/>
    <s v="Food"/>
    <n v="282.94"/>
    <n v="779.32999999999902"/>
    <s v="Returning"/>
    <n v="0.28000000000000003"/>
    <s v="Credit Card"/>
    <s v="Online"/>
    <s v="West-Eve"/>
    <x v="3"/>
    <s v="Thursday"/>
    <n v="1426.0175999999999"/>
    <n v="3474.7299999999932"/>
    <n v="2501.8055999999951"/>
  </r>
  <r>
    <n v="1061"/>
    <d v="2023-04-18T00:00:00"/>
    <x v="3"/>
    <s v="North"/>
    <n v="3774.02"/>
    <n v="47"/>
    <s v="Electronics"/>
    <n v="146.27000000000001"/>
    <n v="498.46"/>
    <s v="New"/>
    <n v="0.06"/>
    <s v="Cash"/>
    <s v="Retail"/>
    <s v="North-Eve"/>
    <x v="1"/>
    <s v="Tuesday"/>
    <n v="6462.2085999999999"/>
    <n v="16552.929999999997"/>
    <n v="15559.754199999996"/>
  </r>
  <r>
    <n v="1064"/>
    <d v="2023-06-21T00:00:00"/>
    <x v="0"/>
    <s v="West"/>
    <n v="9215.59"/>
    <n v="46"/>
    <s v="Electronics"/>
    <n v="984.53"/>
    <n v="1138.49"/>
    <s v="New"/>
    <n v="0.04"/>
    <s v="Bank Transfer"/>
    <s v="Online"/>
    <s v="West-Bob"/>
    <x v="6"/>
    <s v="Wednesday"/>
    <n v="43476.844799999999"/>
    <n v="7082.1600000000017"/>
    <n v="6798.8736000000017"/>
  </r>
  <r>
    <n v="1063"/>
    <d v="2023-04-12T00:00:00"/>
    <x v="2"/>
    <s v="North"/>
    <n v="5886.04"/>
    <n v="40"/>
    <s v="Electronics"/>
    <n v="2101.3200000000002"/>
    <n v="2440.63"/>
    <s v="New"/>
    <n v="0.26"/>
    <s v="Bank Transfer"/>
    <s v="Retail"/>
    <s v="North-Charlie"/>
    <x v="1"/>
    <s v="Wednesday"/>
    <n v="62199.072"/>
    <n v="13572.399999999998"/>
    <n v="10043.575999999999"/>
  </r>
  <r>
    <n v="1069"/>
    <d v="2023-12-20T00:00:00"/>
    <x v="3"/>
    <s v="North"/>
    <n v="5429.49"/>
    <n v="12"/>
    <s v="Furniture"/>
    <n v="4682.34"/>
    <n v="5036.3999999999996"/>
    <s v="New"/>
    <n v="0.2"/>
    <s v="Bank Transfer"/>
    <s v="Retail"/>
    <s v="North-Eve"/>
    <x v="9"/>
    <s v="Wednesday"/>
    <n v="44950.464000000007"/>
    <n v="4248.7199999999939"/>
    <n v="3398.9759999999951"/>
  </r>
  <r>
    <n v="1022"/>
    <d v="2023-01-12T00:00:00"/>
    <x v="3"/>
    <s v="East"/>
    <n v="2761.65"/>
    <n v="13"/>
    <s v="Food"/>
    <n v="2312.4499999999998"/>
    <n v="2504.6"/>
    <s v="Returning"/>
    <n v="0.06"/>
    <s v="Bank Transfer"/>
    <s v="Online"/>
    <s v="East-Eve"/>
    <x v="5"/>
    <s v="Thursday"/>
    <n v="28258.138999999996"/>
    <n v="2497.9500000000012"/>
    <n v="2348.0730000000008"/>
  </r>
  <r>
    <n v="1093"/>
    <d v="2023-10-02T00:00:00"/>
    <x v="0"/>
    <s v="West"/>
    <n v="3747.64"/>
    <n v="43"/>
    <s v="Electronics"/>
    <n v="1486.76"/>
    <n v="1505.44"/>
    <s v="New"/>
    <n v="0.08"/>
    <s v="Cash"/>
    <s v="Retail"/>
    <s v="West-Bob"/>
    <x v="7"/>
    <s v="Monday"/>
    <n v="58816.225600000005"/>
    <n v="803.24000000000274"/>
    <n v="738.98080000000255"/>
  </r>
  <r>
    <n v="1067"/>
    <d v="2023-04-11T00:00:00"/>
    <x v="0"/>
    <s v="East"/>
    <n v="8963.93"/>
    <n v="17"/>
    <s v="Food"/>
    <n v="2831.58"/>
    <n v="3186.15"/>
    <s v="New"/>
    <n v="0.24"/>
    <s v="Bank Transfer"/>
    <s v="Retail"/>
    <s v="East-Bob"/>
    <x v="1"/>
    <s v="Tuesday"/>
    <n v="36584.013599999998"/>
    <n v="6027.6900000000023"/>
    <n v="4581.0444000000016"/>
  </r>
  <r>
    <n v="1076"/>
    <d v="2023-02-13T00:00:00"/>
    <x v="3"/>
    <s v="North"/>
    <n v="6697.98"/>
    <n v="17"/>
    <s v="Clothing"/>
    <n v="604.08000000000004"/>
    <n v="624.71"/>
    <s v="New"/>
    <n v="0.14000000000000001"/>
    <s v="Bank Transfer"/>
    <s v="Retail"/>
    <s v="North-Eve"/>
    <x v="0"/>
    <s v="Monday"/>
    <n v="8831.6496000000006"/>
    <n v="350.70999999999992"/>
    <n v="301.61059999999992"/>
  </r>
  <r>
    <n v="1026"/>
    <d v="2023-11-01T00:00:00"/>
    <x v="4"/>
    <s v="South"/>
    <n v="7895.13"/>
    <n v="36"/>
    <s v="Clothing"/>
    <n v="3067.05"/>
    <n v="3386.33"/>
    <s v="New"/>
    <n v="0.2"/>
    <s v="Bank Transfer"/>
    <s v="Online"/>
    <s v="South-Alice"/>
    <x v="8"/>
    <s v="Wednesday"/>
    <n v="88331.040000000008"/>
    <n v="11494.079999999991"/>
    <n v="9195.2639999999938"/>
  </r>
  <r>
    <n v="1016"/>
    <d v="2023-01-17T00:00:00"/>
    <x v="3"/>
    <s v="West"/>
    <n v="4598.0200000000004"/>
    <n v="21"/>
    <s v="Electronics"/>
    <n v="2863.74"/>
    <n v="2953.91"/>
    <s v="New"/>
    <n v="0.1"/>
    <s v="Bank Transfer"/>
    <s v="Retail"/>
    <s v="West-Eve"/>
    <x v="5"/>
    <s v="Tuesday"/>
    <n v="54124.685999999994"/>
    <n v="1893.5700000000015"/>
    <n v="1704.2130000000013"/>
  </r>
  <r>
    <n v="1051"/>
    <d v="2023-11-26T00:00:00"/>
    <x v="3"/>
    <s v="South"/>
    <n v="6339.45"/>
    <n v="8"/>
    <s v="Food"/>
    <n v="3970.37"/>
    <n v="4257.5199999999904"/>
    <s v="New"/>
    <n v="0.11"/>
    <s v="Cash"/>
    <s v="Retail"/>
    <s v="South-Eve"/>
    <x v="8"/>
    <s v="Sunday"/>
    <n v="28269.0344"/>
    <n v="2297.1999999999243"/>
    <n v="2044.5079999999327"/>
  </r>
  <r>
    <n v="1086"/>
    <d v="2023-02-26T00:00:00"/>
    <x v="0"/>
    <s v="West"/>
    <n v="2559"/>
    <n v="5"/>
    <s v="Electronics"/>
    <n v="4934.1000000000004"/>
    <n v="5191.0200000000004"/>
    <s v="New"/>
    <n v="0.3"/>
    <s v="Bank Transfer"/>
    <s v="Online"/>
    <s v="West-Bob"/>
    <x v="0"/>
    <s v="Sunday"/>
    <n v="17269.349999999999"/>
    <n v="1284.6000000000004"/>
    <n v="899.22000000000014"/>
  </r>
  <r>
    <n v="1057"/>
    <d v="2023-11-07T00:00:00"/>
    <x v="0"/>
    <s v="East"/>
    <n v="7084.06"/>
    <n v="26"/>
    <s v="Clothing"/>
    <n v="1291.82"/>
    <n v="1308.4399999999901"/>
    <s v="Returning"/>
    <n v="7.0000000000000007E-2"/>
    <s v="Credit Card"/>
    <s v="Online"/>
    <s v="East-Bob"/>
    <x v="8"/>
    <s v="Tuesday"/>
    <n v="31236.207599999998"/>
    <n v="432.11999999974296"/>
    <n v="401.87159999976092"/>
  </r>
  <r>
    <n v="1029"/>
    <d v="2023-10-30T00:00:00"/>
    <x v="3"/>
    <s v="East"/>
    <n v="4333.25"/>
    <n v="16"/>
    <s v="Electronics"/>
    <n v="2572.8000000000002"/>
    <n v="2760.6"/>
    <s v="Returning"/>
    <n v="0.15"/>
    <s v="Credit Card"/>
    <s v="Retail"/>
    <s v="East-Eve"/>
    <x v="7"/>
    <s v="Monday"/>
    <n v="34990.080000000002"/>
    <n v="3004.7999999999956"/>
    <n v="2554.0799999999963"/>
  </r>
  <r>
    <n v="1078"/>
    <d v="2023-01-12T00:00:00"/>
    <x v="3"/>
    <s v="East"/>
    <n v="4481.2"/>
    <n v="36"/>
    <s v="Food"/>
    <n v="4548.88"/>
    <n v="4853.41"/>
    <s v="Returning"/>
    <n v="0.25"/>
    <s v="Credit Card"/>
    <s v="Retail"/>
    <s v="East-Eve"/>
    <x v="5"/>
    <s v="Thursday"/>
    <n v="122819.76"/>
    <n v="10963.079999999991"/>
    <n v="8222.309999999994"/>
  </r>
  <r>
    <n v="1092"/>
    <d v="2023-11-14T00:00:00"/>
    <x v="3"/>
    <s v="East"/>
    <n v="6528.29"/>
    <n v="28"/>
    <s v="Clothing"/>
    <n v="3936.69"/>
    <n v="4362.51"/>
    <s v="Returning"/>
    <n v="7.0000000000000007E-2"/>
    <s v="Credit Card"/>
    <s v="Retail"/>
    <s v="East-Eve"/>
    <x v="8"/>
    <s v="Tuesday"/>
    <n v="102511.40760000001"/>
    <n v="11922.960000000005"/>
    <n v="11088.352800000004"/>
  </r>
  <r>
    <n v="1069"/>
    <d v="2023-03-21T00:00:00"/>
    <x v="0"/>
    <s v="East"/>
    <n v="9369.18"/>
    <n v="29"/>
    <s v="Furniture"/>
    <n v="2462.66"/>
    <n v="2908.0899999999901"/>
    <s v="New"/>
    <n v="0.12"/>
    <s v="Credit Card"/>
    <s v="Online"/>
    <s v="East-Bob"/>
    <x v="4"/>
    <s v="Tuesday"/>
    <n v="62847.083200000001"/>
    <n v="12917.469999999717"/>
    <n v="11367.373599999752"/>
  </r>
  <r>
    <n v="1047"/>
    <d v="2023-08-04T00:00:00"/>
    <x v="3"/>
    <s v="South"/>
    <n v="733.66"/>
    <n v="47"/>
    <s v="Clothing"/>
    <n v="4729.59"/>
    <n v="4976.68"/>
    <s v="Returning"/>
    <n v="0.18"/>
    <s v="Credit Card"/>
    <s v="Retail"/>
    <s v="South-Eve"/>
    <x v="3"/>
    <s v="Friday"/>
    <n v="182278.39860000001"/>
    <n v="11613.230000000007"/>
    <n v="9522.8486000000066"/>
  </r>
  <r>
    <n v="1094"/>
    <d v="2023-12-05T00:00:00"/>
    <x v="3"/>
    <s v="East"/>
    <n v="8264.9599999999991"/>
    <n v="12"/>
    <s v="Furniture"/>
    <n v="333.32"/>
    <n v="700.25"/>
    <s v="Returning"/>
    <n v="0.14000000000000001"/>
    <s v="Cash"/>
    <s v="Online"/>
    <s v="East-Eve"/>
    <x v="9"/>
    <s v="Tuesday"/>
    <n v="3439.8624"/>
    <n v="4403.16"/>
    <n v="3786.7175999999999"/>
  </r>
  <r>
    <n v="1062"/>
    <d v="2023-09-21T00:00:00"/>
    <x v="1"/>
    <s v="North"/>
    <n v="2994.59"/>
    <n v="37"/>
    <s v="Electronics"/>
    <n v="4658.4399999999996"/>
    <n v="4823.5"/>
    <s v="Returning"/>
    <n v="0.14000000000000001"/>
    <s v="Credit Card"/>
    <s v="Online"/>
    <s v="North-David"/>
    <x v="2"/>
    <s v="Thursday"/>
    <n v="148231.56080000001"/>
    <n v="6107.2200000000148"/>
    <n v="5252.209200000013"/>
  </r>
  <r>
    <n v="1069"/>
    <d v="2023-05-29T00:00:00"/>
    <x v="4"/>
    <s v="North"/>
    <n v="4494.8"/>
    <n v="30"/>
    <s v="Electronics"/>
    <n v="300.01"/>
    <n v="477.67999999999898"/>
    <s v="New"/>
    <n v="0.11"/>
    <s v="Bank Transfer"/>
    <s v="Retail"/>
    <s v="North-Alice"/>
    <x v="10"/>
    <s v="Monday"/>
    <n v="8010.2669999999998"/>
    <n v="5330.0999999999694"/>
    <n v="4743.7889999999725"/>
  </r>
  <r>
    <n v="1076"/>
    <d v="2023-03-22T00:00:00"/>
    <x v="2"/>
    <s v="South"/>
    <n v="316.94"/>
    <n v="23"/>
    <s v="Food"/>
    <n v="2759.16"/>
    <n v="2864.45"/>
    <s v="Returning"/>
    <n v="0.18"/>
    <s v="Credit Card"/>
    <s v="Retail"/>
    <s v="South-Charlie"/>
    <x v="4"/>
    <s v="Wednesday"/>
    <n v="52037.757599999997"/>
    <n v="2421.6699999999992"/>
    <n v="1985.7693999999995"/>
  </r>
  <r>
    <n v="1016"/>
    <d v="2023-08-03T00:00:00"/>
    <x v="4"/>
    <s v="West"/>
    <n v="3080.36"/>
    <n v="16"/>
    <s v="Furniture"/>
    <n v="4457.68"/>
    <n v="4743.03"/>
    <s v="Returning"/>
    <n v="0.19"/>
    <s v="Cash"/>
    <s v="Online"/>
    <s v="West-Alice"/>
    <x v="3"/>
    <s v="Thursday"/>
    <n v="57771.532800000008"/>
    <n v="4565.5999999999913"/>
    <n v="3698.1359999999931"/>
  </r>
  <r>
    <n v="1090"/>
    <d v="2023-07-17T00:00:00"/>
    <x v="1"/>
    <s v="North"/>
    <n v="5076.05"/>
    <n v="14"/>
    <s v="Electronics"/>
    <n v="1350.47"/>
    <n v="1514.61"/>
    <s v="New"/>
    <n v="0.2"/>
    <s v="Credit Card"/>
    <s v="Retail"/>
    <s v="North-David"/>
    <x v="11"/>
    <s v="Monday"/>
    <n v="15125.264000000003"/>
    <n v="2297.9599999999982"/>
    <n v="1838.3679999999986"/>
  </r>
  <r>
    <n v="1090"/>
    <d v="2023-07-19T00:00:00"/>
    <x v="2"/>
    <s v="West"/>
    <n v="656.14"/>
    <n v="10"/>
    <s v="Furniture"/>
    <n v="2387.63"/>
    <n v="2438.9699999999998"/>
    <s v="Returning"/>
    <n v="0.02"/>
    <s v="Bank Transfer"/>
    <s v="Retail"/>
    <s v="West-Charlie"/>
    <x v="11"/>
    <s v="Wednesday"/>
    <n v="23398.774000000001"/>
    <n v="513.39999999999691"/>
    <n v="503.13199999999694"/>
  </r>
  <r>
    <n v="1048"/>
    <d v="2023-01-25T00:00:00"/>
    <x v="3"/>
    <s v="South"/>
    <n v="4961.8500000000004"/>
    <n v="7"/>
    <s v="Electronics"/>
    <n v="1655.43"/>
    <n v="2001.08"/>
    <s v="New"/>
    <n v="0.19"/>
    <s v="Bank Transfer"/>
    <s v="Online"/>
    <s v="South-Eve"/>
    <x v="5"/>
    <s v="Wednesday"/>
    <n v="9386.2881000000016"/>
    <n v="2419.5499999999993"/>
    <n v="1959.8354999999995"/>
  </r>
  <r>
    <n v="1085"/>
    <d v="2023-03-30T00:00:00"/>
    <x v="1"/>
    <s v="West"/>
    <n v="9278.4"/>
    <n v="45"/>
    <s v="Clothing"/>
    <n v="4763.1099999999997"/>
    <n v="5119.91"/>
    <s v="Returning"/>
    <n v="0.28999999999999998"/>
    <s v="Cash"/>
    <s v="Retail"/>
    <s v="West-David"/>
    <x v="4"/>
    <s v="Thursday"/>
    <n v="152181.36449999997"/>
    <n v="16056.000000000007"/>
    <n v="11399.760000000004"/>
  </r>
  <r>
    <n v="1039"/>
    <d v="2023-09-25T00:00:00"/>
    <x v="3"/>
    <s v="West"/>
    <n v="1143.3900000000001"/>
    <n v="37"/>
    <s v="Electronics"/>
    <n v="4127.05"/>
    <n v="4313.45"/>
    <s v="New"/>
    <n v="0.16"/>
    <s v="Cash"/>
    <s v="Online"/>
    <s v="West-Eve"/>
    <x v="2"/>
    <s v="Monday"/>
    <n v="128268.71400000001"/>
    <n v="6896.7999999999865"/>
    <n v="5793.3119999999881"/>
  </r>
  <r>
    <n v="1100"/>
    <d v="2023-05-23T00:00:00"/>
    <x v="0"/>
    <s v="West"/>
    <n v="7667.96"/>
    <n v="29"/>
    <s v="Food"/>
    <n v="3559.56"/>
    <n v="3607.15"/>
    <s v="Returning"/>
    <n v="0.21"/>
    <s v="Cash"/>
    <s v="Retail"/>
    <s v="West-Bob"/>
    <x v="10"/>
    <s v="Tuesday"/>
    <n v="81549.519600000014"/>
    <n v="1380.1100000000042"/>
    <n v="1090.2869000000035"/>
  </r>
  <r>
    <n v="1033"/>
    <d v="2023-02-28T00:00:00"/>
    <x v="1"/>
    <s v="West"/>
    <n v="4155.74"/>
    <n v="3"/>
    <s v="Clothing"/>
    <n v="2958.75"/>
    <n v="3177.64"/>
    <s v="Returning"/>
    <n v="0.17"/>
    <s v="Cash"/>
    <s v="Online"/>
    <s v="West-David"/>
    <x v="0"/>
    <s v="Tuesday"/>
    <n v="7367.2874999999995"/>
    <n v="656.66999999999962"/>
    <n v="545.03609999999969"/>
  </r>
  <r>
    <n v="1094"/>
    <d v="2023-12-31T00:00:00"/>
    <x v="0"/>
    <s v="South"/>
    <n v="6586.22"/>
    <n v="15"/>
    <s v="Food"/>
    <n v="4111.93"/>
    <n v="4338.67"/>
    <s v="Returning"/>
    <n v="0.26"/>
    <s v="Credit Card"/>
    <s v="Online"/>
    <s v="South-Bob"/>
    <x v="9"/>
    <s v="Sunday"/>
    <n v="45642.423000000003"/>
    <n v="3401.0999999999967"/>
    <n v="2516.8139999999976"/>
  </r>
  <r>
    <n v="1023"/>
    <d v="2023-01-26T00:00:00"/>
    <x v="1"/>
    <s v="North"/>
    <n v="2676.34"/>
    <n v="36"/>
    <s v="Clothing"/>
    <n v="1991.72"/>
    <n v="2329.37"/>
    <s v="New"/>
    <n v="0.28000000000000003"/>
    <s v="Credit Card"/>
    <s v="Retail"/>
    <s v="North-David"/>
    <x v="5"/>
    <s v="Thursday"/>
    <n v="51625.382399999995"/>
    <n v="12155.399999999994"/>
    <n v="8751.8879999999954"/>
  </r>
  <r>
    <n v="1010"/>
    <d v="2023-02-16T00:00:00"/>
    <x v="1"/>
    <s v="East"/>
    <n v="1678.97"/>
    <n v="47"/>
    <s v="Furniture"/>
    <n v="2265.38"/>
    <n v="2429.9299999999998"/>
    <s v="Returning"/>
    <n v="0.06"/>
    <s v="Bank Transfer"/>
    <s v="Online"/>
    <s v="East-David"/>
    <x v="0"/>
    <s v="Thursday"/>
    <n v="100084.4884"/>
    <n v="7733.8499999999876"/>
    <n v="7269.8189999999877"/>
  </r>
  <r>
    <n v="1069"/>
    <d v="2023-10-15T00:00:00"/>
    <x v="0"/>
    <s v="West"/>
    <n v="1688.58"/>
    <n v="46"/>
    <s v="Food"/>
    <n v="3663.51"/>
    <n v="4007.98"/>
    <s v="New"/>
    <n v="0.13"/>
    <s v="Cash"/>
    <s v="Online"/>
    <s v="West-Bob"/>
    <x v="7"/>
    <s v="Sunday"/>
    <n v="146613.67020000002"/>
    <n v="15845.619999999992"/>
    <n v="13785.689399999992"/>
  </r>
  <r>
    <n v="1100"/>
    <d v="2023-09-23T00:00:00"/>
    <x v="2"/>
    <s v="North"/>
    <n v="797.87"/>
    <n v="19"/>
    <s v="Electronics"/>
    <n v="1820.89"/>
    <n v="2257.92"/>
    <s v="New"/>
    <n v="0.12"/>
    <s v="Cash"/>
    <s v="Retail"/>
    <s v="North-Charlie"/>
    <x v="2"/>
    <s v="Saturday"/>
    <n v="30445.280800000004"/>
    <n v="8303.57"/>
    <n v="7307.1415999999999"/>
  </r>
  <r>
    <n v="1034"/>
    <d v="2023-01-16T00:00:00"/>
    <x v="4"/>
    <s v="North"/>
    <n v="1937.9"/>
    <n v="13"/>
    <s v="Furniture"/>
    <n v="366.31"/>
    <n v="492.68"/>
    <s v="New"/>
    <n v="0.12"/>
    <s v="Credit Card"/>
    <s v="Retail"/>
    <s v="North-Alice"/>
    <x v="5"/>
    <s v="Monday"/>
    <n v="4190.5864000000001"/>
    <n v="1642.81"/>
    <n v="1445.6728000000001"/>
  </r>
  <r>
    <n v="1052"/>
    <d v="2023-07-18T00:00:00"/>
    <x v="3"/>
    <s v="South"/>
    <n v="6675.77"/>
    <n v="42"/>
    <s v="Electronics"/>
    <n v="417.96"/>
    <n v="907.63"/>
    <s v="New"/>
    <n v="0.04"/>
    <s v="Cash"/>
    <s v="Retail"/>
    <s v="South-Eve"/>
    <x v="11"/>
    <s v="Tuesday"/>
    <n v="16852.147199999999"/>
    <n v="20566.14"/>
    <n v="19743.4944"/>
  </r>
  <r>
    <n v="1095"/>
    <d v="2023-10-09T00:00:00"/>
    <x v="1"/>
    <s v="North"/>
    <n v="8828.74"/>
    <n v="21"/>
    <s v="Clothing"/>
    <n v="621.04999999999995"/>
    <n v="820.36999999999898"/>
    <s v="Returning"/>
    <n v="0.24"/>
    <s v="Bank Transfer"/>
    <s v="Online"/>
    <s v="North-David"/>
    <x v="7"/>
    <s v="Monday"/>
    <n v="9911.9579999999987"/>
    <n v="4185.7199999999793"/>
    <n v="3181.1471999999844"/>
  </r>
  <r>
    <n v="1010"/>
    <d v="2023-03-27T00:00:00"/>
    <x v="3"/>
    <s v="South"/>
    <n v="8159.84"/>
    <n v="37"/>
    <s v="Clothing"/>
    <n v="4354.92"/>
    <n v="4495.88"/>
    <s v="Returning"/>
    <n v="0.01"/>
    <s v="Bank Transfer"/>
    <s v="Online"/>
    <s v="South-Eve"/>
    <x v="4"/>
    <s v="Monday"/>
    <n v="159520.71960000001"/>
    <n v="5215.5200000000013"/>
    <n v="5163.3648000000012"/>
  </r>
  <r>
    <n v="1019"/>
    <d v="2023-09-07T00:00:00"/>
    <x v="0"/>
    <s v="West"/>
    <n v="6882.83"/>
    <n v="27"/>
    <s v="Electronics"/>
    <n v="2387.52"/>
    <n v="2604.06"/>
    <s v="Returning"/>
    <n v="0.16"/>
    <s v="Cash"/>
    <s v="Online"/>
    <s v="West-Bob"/>
    <x v="2"/>
    <s v="Thursday"/>
    <n v="54148.953600000001"/>
    <n v="5846.579999999999"/>
    <n v="4911.127199999999"/>
  </r>
  <r>
    <n v="1058"/>
    <d v="2023-09-27T00:00:00"/>
    <x v="3"/>
    <s v="West"/>
    <n v="1193.28"/>
    <n v="29"/>
    <s v="Electronics"/>
    <n v="3578.77"/>
    <n v="3635.02"/>
    <s v="New"/>
    <n v="0.2"/>
    <s v="Bank Transfer"/>
    <s v="Retail"/>
    <s v="West-Eve"/>
    <x v="2"/>
    <s v="Wednesday"/>
    <n v="83027.464000000007"/>
    <n v="1631.25"/>
    <n v="1305"/>
  </r>
  <r>
    <n v="1096"/>
    <d v="2023-12-01T00:00:00"/>
    <x v="0"/>
    <s v="East"/>
    <n v="2962.96"/>
    <n v="20"/>
    <s v="Furniture"/>
    <n v="1994.9"/>
    <n v="2066.5"/>
    <s v="Returning"/>
    <n v="0.06"/>
    <s v="Bank Transfer"/>
    <s v="Online"/>
    <s v="East-Bob"/>
    <x v="9"/>
    <s v="Friday"/>
    <n v="37504.119999999995"/>
    <n v="1431.9999999999982"/>
    <n v="1346.0799999999981"/>
  </r>
  <r>
    <n v="1001"/>
    <d v="2023-04-27T00:00:00"/>
    <x v="3"/>
    <s v="East"/>
    <n v="3167.09"/>
    <n v="25"/>
    <s v="Electronics"/>
    <n v="1330.62"/>
    <n v="1543.6899999999901"/>
    <s v="New"/>
    <n v="0.27"/>
    <s v="Credit Card"/>
    <s v="Online"/>
    <s v="East-Eve"/>
    <x v="1"/>
    <s v="Thursday"/>
    <n v="24283.814999999999"/>
    <n v="5326.7499999997544"/>
    <n v="3888.5274999998205"/>
  </r>
  <r>
    <n v="1069"/>
    <d v="2023-01-07T00:00:00"/>
    <x v="4"/>
    <s v="East"/>
    <n v="2574.5700000000002"/>
    <n v="6"/>
    <s v="Food"/>
    <n v="1768.6"/>
    <n v="2152.1999999999998"/>
    <s v="New"/>
    <n v="0.25"/>
    <s v="Bank Transfer"/>
    <s v="Retail"/>
    <s v="East-Alice"/>
    <x v="5"/>
    <s v="Saturday"/>
    <n v="7958.6999999999989"/>
    <n v="2301.5999999999995"/>
    <n v="1726.1999999999996"/>
  </r>
  <r>
    <n v="1004"/>
    <d v="2023-05-17T00:00:00"/>
    <x v="4"/>
    <s v="North"/>
    <n v="5198.5600000000004"/>
    <n v="36"/>
    <s v="Food"/>
    <n v="3981.2"/>
    <n v="4432.3499999999904"/>
    <s v="New"/>
    <n v="0.14000000000000001"/>
    <s v="Cash"/>
    <s v="Online"/>
    <s v="North-Alice"/>
    <x v="10"/>
    <s v="Wednesday"/>
    <n v="123257.95199999999"/>
    <n v="16241.399999999659"/>
    <n v="13967.603999999707"/>
  </r>
  <r>
    <n v="1016"/>
    <d v="2023-06-25T00:00:00"/>
    <x v="4"/>
    <s v="West"/>
    <n v="5401.98"/>
    <n v="2"/>
    <s v="Electronics"/>
    <n v="3144.82"/>
    <n v="3480.58"/>
    <s v="Returning"/>
    <n v="0.12"/>
    <s v="Cash"/>
    <s v="Retail"/>
    <s v="West-Alice"/>
    <x v="6"/>
    <s v="Sunday"/>
    <n v="5534.8832000000002"/>
    <n v="671.51999999999953"/>
    <n v="590.93759999999963"/>
  </r>
  <r>
    <n v="1024"/>
    <d v="2023-11-24T00:00:00"/>
    <x v="4"/>
    <s v="South"/>
    <n v="3633.17"/>
    <n v="22"/>
    <s v="Food"/>
    <n v="4691.32"/>
    <n v="4752.88"/>
    <s v="Returning"/>
    <n v="7.0000000000000007E-2"/>
    <s v="Bank Transfer"/>
    <s v="Retail"/>
    <s v="South-Alice"/>
    <x v="8"/>
    <s v="Friday"/>
    <n v="95984.407199999987"/>
    <n v="1354.3200000000088"/>
    <n v="1259.5176000000081"/>
  </r>
  <r>
    <n v="1080"/>
    <d v="2023-11-11T00:00:00"/>
    <x v="4"/>
    <s v="East"/>
    <n v="3602.51"/>
    <n v="32"/>
    <s v="Electronics"/>
    <n v="3414.54"/>
    <n v="3753.83"/>
    <s v="New"/>
    <n v="0.22"/>
    <s v="Cash"/>
    <s v="Retail"/>
    <s v="East-Alice"/>
    <x v="8"/>
    <s v="Saturday"/>
    <n v="85226.918399999995"/>
    <n v="10857.279999999999"/>
    <n v="8468.6783999999989"/>
  </r>
  <r>
    <n v="1002"/>
    <d v="2023-08-03T00:00:00"/>
    <x v="4"/>
    <s v="South"/>
    <n v="8302.7000000000007"/>
    <n v="16"/>
    <s v="Furniture"/>
    <n v="2872.4"/>
    <n v="3193.76"/>
    <s v="Returning"/>
    <n v="0.04"/>
    <s v="Credit Card"/>
    <s v="Online"/>
    <s v="South-Alice"/>
    <x v="3"/>
    <s v="Thursday"/>
    <n v="44120.063999999998"/>
    <n v="5141.760000000002"/>
    <n v="4936.0896000000021"/>
  </r>
  <r>
    <n v="1092"/>
    <d v="2023-03-23T00:00:00"/>
    <x v="0"/>
    <s v="South"/>
    <n v="7914"/>
    <n v="18"/>
    <s v="Food"/>
    <n v="3070.47"/>
    <n v="3475.29"/>
    <s v="Returning"/>
    <n v="0.2"/>
    <s v="Bank Transfer"/>
    <s v="Online"/>
    <s v="South-Bob"/>
    <x v="4"/>
    <s v="Thursday"/>
    <n v="44214.768000000004"/>
    <n v="7286.7600000000029"/>
    <n v="5829.4080000000031"/>
  </r>
  <r>
    <n v="1032"/>
    <d v="2023-08-11T00:00:00"/>
    <x v="1"/>
    <s v="East"/>
    <n v="3147.18"/>
    <n v="5"/>
    <s v="Food"/>
    <n v="4714.74"/>
    <n v="5129.1099999999997"/>
    <s v="New"/>
    <n v="0.25"/>
    <s v="Bank Transfer"/>
    <s v="Online"/>
    <s v="East-David"/>
    <x v="3"/>
    <s v="Friday"/>
    <n v="17680.274999999998"/>
    <n v="2071.8499999999995"/>
    <n v="1553.8874999999996"/>
  </r>
  <r>
    <n v="1091"/>
    <d v="2023-04-13T00:00:00"/>
    <x v="3"/>
    <s v="West"/>
    <n v="9146.51"/>
    <n v="36"/>
    <s v="Electronics"/>
    <n v="3951.59"/>
    <n v="4387.01"/>
    <s v="New"/>
    <n v="7.0000000000000007E-2"/>
    <s v="Bank Transfer"/>
    <s v="Retail"/>
    <s v="West-Eve"/>
    <x v="1"/>
    <s v="Thursday"/>
    <n v="132299.23319999999"/>
    <n v="15675.120000000003"/>
    <n v="14577.861600000002"/>
  </r>
  <r>
    <n v="1084"/>
    <d v="2023-09-30T00:00:00"/>
    <x v="4"/>
    <s v="East"/>
    <n v="9532.8700000000008"/>
    <n v="30"/>
    <s v="Food"/>
    <n v="169"/>
    <n v="381.91999999999899"/>
    <s v="Returning"/>
    <n v="0.26"/>
    <s v="Cash"/>
    <s v="Retail"/>
    <s v="East-Alice"/>
    <x v="2"/>
    <s v="Saturday"/>
    <n v="3751.8"/>
    <n v="6387.5999999999694"/>
    <n v="4726.8239999999769"/>
  </r>
  <r>
    <n v="1024"/>
    <d v="2023-01-14T00:00:00"/>
    <x v="0"/>
    <s v="South"/>
    <n v="3334.75"/>
    <n v="45"/>
    <s v="Clothing"/>
    <n v="2693.99"/>
    <n v="3045.9399999999901"/>
    <s v="New"/>
    <n v="0.01"/>
    <s v="Cash"/>
    <s v="Retail"/>
    <s v="South-Bob"/>
    <x v="5"/>
    <s v="Saturday"/>
    <n v="120017.25449999998"/>
    <n v="15837.749999999562"/>
    <n v="15679.372499999567"/>
  </r>
  <r>
    <n v="1012"/>
    <d v="2023-06-08T00:00:00"/>
    <x v="0"/>
    <s v="East"/>
    <n v="3608.81"/>
    <n v="19"/>
    <s v="Furniture"/>
    <n v="3457.28"/>
    <n v="3598.72"/>
    <s v="New"/>
    <n v="0.27"/>
    <s v="Bank Transfer"/>
    <s v="Online"/>
    <s v="East-Bob"/>
    <x v="6"/>
    <s v="Thursday"/>
    <n v="47952.473600000005"/>
    <n v="2687.3599999999924"/>
    <n v="1961.7727999999945"/>
  </r>
  <r>
    <n v="1050"/>
    <d v="2023-06-01T00:00:00"/>
    <x v="0"/>
    <s v="South"/>
    <n v="5105.78"/>
    <n v="23"/>
    <s v="Furniture"/>
    <n v="3756.06"/>
    <n v="4255.7299999999996"/>
    <s v="Returning"/>
    <n v="0.04"/>
    <s v="Cash"/>
    <s v="Online"/>
    <s v="South-Bob"/>
    <x v="6"/>
    <s v="Thursday"/>
    <n v="82933.804799999998"/>
    <n v="11492.409999999991"/>
    <n v="11032.71359999999"/>
  </r>
  <r>
    <n v="1035"/>
    <d v="2023-04-18T00:00:00"/>
    <x v="1"/>
    <s v="South"/>
    <n v="9417.1"/>
    <n v="34"/>
    <s v="Food"/>
    <n v="1105.05"/>
    <n v="1200.96"/>
    <s v="Returning"/>
    <n v="0.19"/>
    <s v="Cash"/>
    <s v="Online"/>
    <s v="South-David"/>
    <x v="1"/>
    <s v="Tuesday"/>
    <n v="30433.077000000001"/>
    <n v="3260.9400000000028"/>
    <n v="2641.3614000000025"/>
  </r>
  <r>
    <n v="1033"/>
    <d v="2023-07-07T00:00:00"/>
    <x v="3"/>
    <s v="East"/>
    <n v="8775.56"/>
    <n v="13"/>
    <s v="Food"/>
    <n v="4342.53"/>
    <n v="4357.49"/>
    <s v="New"/>
    <n v="0.08"/>
    <s v="Bank Transfer"/>
    <s v="Online"/>
    <s v="East-Eve"/>
    <x v="11"/>
    <s v="Friday"/>
    <n v="51936.658800000005"/>
    <n v="194.48000000000047"/>
    <n v="178.92160000000044"/>
  </r>
  <r>
    <n v="1033"/>
    <d v="2023-10-28T00:00:00"/>
    <x v="1"/>
    <s v="North"/>
    <n v="1115.42"/>
    <n v="43"/>
    <s v="Clothing"/>
    <n v="4781.42"/>
    <n v="4864.34"/>
    <s v="Returning"/>
    <n v="0.25"/>
    <s v="Bank Transfer"/>
    <s v="Online"/>
    <s v="North-David"/>
    <x v="7"/>
    <s v="Saturday"/>
    <n v="154200.79499999998"/>
    <n v="3565.5600000000031"/>
    <n v="2674.1700000000023"/>
  </r>
  <r>
    <n v="1061"/>
    <d v="2023-04-08T00:00:00"/>
    <x v="2"/>
    <s v="East"/>
    <n v="3988.03"/>
    <n v="29"/>
    <s v="Clothing"/>
    <n v="1221.74"/>
    <n v="1611.92"/>
    <s v="New"/>
    <n v="0.15"/>
    <s v="Cash"/>
    <s v="Retail"/>
    <s v="East-Charlie"/>
    <x v="1"/>
    <s v="Saturday"/>
    <n v="30115.891"/>
    <n v="11315.220000000001"/>
    <n v="9617.9369999999999"/>
  </r>
  <r>
    <n v="1051"/>
    <d v="2023-05-11T00:00:00"/>
    <x v="0"/>
    <s v="North"/>
    <n v="5578.37"/>
    <n v="36"/>
    <s v="Food"/>
    <n v="4418.95"/>
    <n v="4647.87"/>
    <s v="New"/>
    <n v="0.04"/>
    <s v="Bank Transfer"/>
    <s v="Online"/>
    <s v="North-Bob"/>
    <x v="10"/>
    <s v="Thursday"/>
    <n v="152718.91199999998"/>
    <n v="8241.1200000000026"/>
    <n v="7911.4752000000026"/>
  </r>
  <r>
    <n v="1043"/>
    <d v="2023-10-20T00:00:00"/>
    <x v="2"/>
    <s v="South"/>
    <n v="5081.01"/>
    <n v="22"/>
    <s v="Food"/>
    <n v="530.04"/>
    <n v="759.31999999999903"/>
    <s v="Returning"/>
    <n v="0.17"/>
    <s v="Bank Transfer"/>
    <s v="Retail"/>
    <s v="South-Charlie"/>
    <x v="7"/>
    <s v="Friday"/>
    <n v="9678.5303999999996"/>
    <n v="5044.1599999999798"/>
    <n v="4186.6527999999835"/>
  </r>
  <r>
    <n v="1012"/>
    <d v="2023-06-20T00:00:00"/>
    <x v="4"/>
    <s v="South"/>
    <n v="2019.24"/>
    <n v="47"/>
    <s v="Clothing"/>
    <n v="325.75"/>
    <n v="803.71"/>
    <s v="New"/>
    <n v="0.12"/>
    <s v="Bank Transfer"/>
    <s v="Retail"/>
    <s v="South-Alice"/>
    <x v="6"/>
    <s v="Tuesday"/>
    <n v="13473.02"/>
    <n v="22464.120000000003"/>
    <n v="19768.425600000002"/>
  </r>
  <r>
    <n v="1067"/>
    <d v="2023-07-02T00:00:00"/>
    <x v="4"/>
    <s v="North"/>
    <n v="8602.2900000000009"/>
    <n v="36"/>
    <s v="Electronics"/>
    <n v="689.66"/>
    <n v="1150.28"/>
    <s v="New"/>
    <n v="0.2"/>
    <s v="Bank Transfer"/>
    <s v="Online"/>
    <s v="North-Alice"/>
    <x v="11"/>
    <s v="Sunday"/>
    <n v="19862.207999999999"/>
    <n v="16582.32"/>
    <n v="13265.856"/>
  </r>
  <r>
    <n v="1065"/>
    <d v="2023-12-30T00:00:00"/>
    <x v="1"/>
    <s v="South"/>
    <n v="6801.71"/>
    <n v="9"/>
    <s v="Clothing"/>
    <n v="335.82"/>
    <n v="498.31"/>
    <s v="New"/>
    <n v="0.26"/>
    <s v="Cash"/>
    <s v="Retail"/>
    <s v="South-David"/>
    <x v="9"/>
    <s v="Saturday"/>
    <n v="2236.5612000000001"/>
    <n v="1462.41"/>
    <n v="1082.1834000000001"/>
  </r>
  <r>
    <n v="1033"/>
    <d v="2023-02-08T00:00:00"/>
    <x v="3"/>
    <s v="North"/>
    <n v="8395.2900000000009"/>
    <n v="39"/>
    <s v="Electronics"/>
    <n v="4232.8100000000004"/>
    <n v="4345.25"/>
    <s v="Returning"/>
    <n v="0.12"/>
    <s v="Bank Transfer"/>
    <s v="Online"/>
    <s v="North-Eve"/>
    <x v="0"/>
    <s v="Wednesday"/>
    <n v="145270.03920000003"/>
    <n v="4385.1599999999844"/>
    <n v="3858.9407999999862"/>
  </r>
  <r>
    <n v="1040"/>
    <d v="2023-01-15T00:00:00"/>
    <x v="2"/>
    <s v="North"/>
    <n v="8601.77"/>
    <n v="19"/>
    <s v="Furniture"/>
    <n v="342.3"/>
    <n v="768.06"/>
    <s v="Returning"/>
    <n v="0.09"/>
    <s v="Credit Card"/>
    <s v="Online"/>
    <s v="North-Charlie"/>
    <x v="5"/>
    <s v="Sunday"/>
    <n v="5918.3670000000002"/>
    <n v="8089.4399999999987"/>
    <n v="7361.3903999999993"/>
  </r>
  <r>
    <n v="1074"/>
    <d v="2023-01-04T00:00:00"/>
    <x v="3"/>
    <s v="South"/>
    <n v="7508.72"/>
    <n v="38"/>
    <s v="Furniture"/>
    <n v="1394.74"/>
    <n v="1848.69"/>
    <s v="Returning"/>
    <n v="0"/>
    <s v="Bank Transfer"/>
    <s v="Retail"/>
    <s v="South-Eve"/>
    <x v="5"/>
    <s v="Wednesday"/>
    <n v="53000.12"/>
    <n v="17250.100000000002"/>
    <n v="17250.100000000002"/>
  </r>
  <r>
    <n v="1043"/>
    <d v="2023-12-15T00:00:00"/>
    <x v="1"/>
    <s v="West"/>
    <n v="4448.18"/>
    <n v="6"/>
    <s v="Clothing"/>
    <n v="563.59"/>
    <n v="838.97"/>
    <s v="New"/>
    <n v="0.17"/>
    <s v="Credit Card"/>
    <s v="Online"/>
    <s v="West-David"/>
    <x v="9"/>
    <s v="Friday"/>
    <n v="2806.6781999999998"/>
    <n v="1652.28"/>
    <n v="1371.3924"/>
  </r>
  <r>
    <n v="1044"/>
    <d v="2023-07-29T00:00:00"/>
    <x v="4"/>
    <s v="North"/>
    <n v="6144.41"/>
    <n v="47"/>
    <s v="Electronics"/>
    <n v="1512.34"/>
    <n v="1830.76"/>
    <s v="New"/>
    <n v="0.12"/>
    <s v="Bank Transfer"/>
    <s v="Online"/>
    <s v="North-Alice"/>
    <x v="11"/>
    <s v="Saturday"/>
    <n v="62550.382399999995"/>
    <n v="14965.740000000003"/>
    <n v="13169.851200000003"/>
  </r>
  <r>
    <n v="1029"/>
    <d v="2023-06-10T00:00:00"/>
    <x v="3"/>
    <s v="East"/>
    <n v="1687.62"/>
    <n v="15"/>
    <s v="Clothing"/>
    <n v="498.27"/>
    <n v="634.16"/>
    <s v="Returning"/>
    <n v="0.11"/>
    <s v="Credit Card"/>
    <s v="Retail"/>
    <s v="East-Eve"/>
    <x v="6"/>
    <s v="Saturday"/>
    <n v="6651.9044999999996"/>
    <n v="2038.35"/>
    <n v="1814.1315"/>
  </r>
  <r>
    <n v="1013"/>
    <d v="2023-01-16T00:00:00"/>
    <x v="3"/>
    <s v="East"/>
    <n v="6769.09"/>
    <n v="20"/>
    <s v="Clothing"/>
    <n v="3356.62"/>
    <n v="3759.0099999999902"/>
    <s v="Returning"/>
    <n v="0.05"/>
    <s v="Credit Card"/>
    <s v="Retail"/>
    <s v="East-Eve"/>
    <x v="5"/>
    <s v="Monday"/>
    <n v="63775.779999999992"/>
    <n v="8047.7999999998065"/>
    <n v="7645.4099999998161"/>
  </r>
  <r>
    <n v="1012"/>
    <d v="2023-04-18T00:00:00"/>
    <x v="4"/>
    <s v="South"/>
    <n v="1874.61"/>
    <n v="9"/>
    <s v="Electronics"/>
    <n v="709.97"/>
    <n v="1029.71"/>
    <s v="Returning"/>
    <n v="0.13"/>
    <s v="Bank Transfer"/>
    <s v="Retail"/>
    <s v="South-Alice"/>
    <x v="1"/>
    <s v="Tuesday"/>
    <n v="5559.0651000000007"/>
    <n v="2877.66"/>
    <n v="2503.5641999999998"/>
  </r>
  <r>
    <n v="1095"/>
    <d v="2023-11-07T00:00:00"/>
    <x v="2"/>
    <s v="West"/>
    <n v="6970.1"/>
    <n v="32"/>
    <s v="Clothing"/>
    <n v="4266.6400000000003"/>
    <n v="4523.3599999999997"/>
    <s v="New"/>
    <n v="0.3"/>
    <s v="Bank Transfer"/>
    <s v="Retail"/>
    <s v="West-Charlie"/>
    <x v="8"/>
    <s v="Tuesday"/>
    <n v="95572.736000000004"/>
    <n v="8215.039999999979"/>
    <n v="5750.5279999999848"/>
  </r>
  <r>
    <n v="1046"/>
    <d v="2023-08-15T00:00:00"/>
    <x v="4"/>
    <s v="South"/>
    <n v="2373.02"/>
    <n v="4"/>
    <s v="Furniture"/>
    <n v="4095.1"/>
    <n v="4134.55"/>
    <s v="Returning"/>
    <n v="0.09"/>
    <s v="Bank Transfer"/>
    <s v="Retail"/>
    <s v="South-Alice"/>
    <x v="3"/>
    <s v="Tuesday"/>
    <n v="14906.164000000001"/>
    <n v="157.80000000000109"/>
    <n v="143.59800000000101"/>
  </r>
  <r>
    <n v="1002"/>
    <d v="2023-06-19T00:00:00"/>
    <x v="3"/>
    <s v="West"/>
    <n v="1263.76"/>
    <n v="18"/>
    <s v="Food"/>
    <n v="117.63"/>
    <n v="576.44000000000005"/>
    <s v="New"/>
    <n v="0.18"/>
    <s v="Credit Card"/>
    <s v="Retail"/>
    <s v="West-Eve"/>
    <x v="6"/>
    <s v="Monday"/>
    <n v="1736.2188000000003"/>
    <n v="8258.5800000000017"/>
    <n v="6772.035600000002"/>
  </r>
  <r>
    <n v="1035"/>
    <d v="2023-02-03T00:00:00"/>
    <x v="2"/>
    <s v="North"/>
    <n v="1736.32"/>
    <n v="5"/>
    <s v="Food"/>
    <n v="4483.8500000000004"/>
    <n v="4795.42"/>
    <s v="Returning"/>
    <n v="0.23"/>
    <s v="Cash"/>
    <s v="Online"/>
    <s v="North-Charlie"/>
    <x v="0"/>
    <s v="Friday"/>
    <n v="17262.822500000002"/>
    <n v="1557.8499999999985"/>
    <n v="1199.5444999999988"/>
  </r>
  <r>
    <n v="1087"/>
    <d v="2023-09-08T00:00:00"/>
    <x v="2"/>
    <s v="North"/>
    <n v="119.72"/>
    <n v="20"/>
    <s v="Clothing"/>
    <n v="193.27"/>
    <n v="297.69"/>
    <s v="New"/>
    <n v="0.22"/>
    <s v="Cash"/>
    <s v="Online"/>
    <s v="North-Charlie"/>
    <x v="2"/>
    <s v="Friday"/>
    <n v="3015.0120000000002"/>
    <n v="2088.3999999999996"/>
    <n v="1628.9519999999998"/>
  </r>
  <r>
    <n v="1081"/>
    <d v="2023-09-04T00:00:00"/>
    <x v="4"/>
    <s v="North"/>
    <n v="7215.52"/>
    <n v="23"/>
    <s v="Electronics"/>
    <n v="1236.25"/>
    <n v="1543.38"/>
    <s v="New"/>
    <n v="0.1"/>
    <s v="Bank Transfer"/>
    <s v="Online"/>
    <s v="North-Alice"/>
    <x v="2"/>
    <s v="Monday"/>
    <n v="25590.375"/>
    <n v="7063.9900000000025"/>
    <n v="6357.5910000000022"/>
  </r>
  <r>
    <n v="1090"/>
    <d v="2023-09-26T00:00:00"/>
    <x v="3"/>
    <s v="North"/>
    <n v="7350.77"/>
    <n v="11"/>
    <s v="Electronics"/>
    <n v="210.33"/>
    <n v="552.29"/>
    <s v="Returning"/>
    <n v="0.18"/>
    <s v="Cash"/>
    <s v="Retail"/>
    <s v="North-Eve"/>
    <x v="2"/>
    <s v="Tuesday"/>
    <n v="1897.1766000000002"/>
    <n v="3761.559999999999"/>
    <n v="3084.4791999999993"/>
  </r>
  <r>
    <n v="1008"/>
    <d v="2023-05-21T00:00:00"/>
    <x v="1"/>
    <s v="East"/>
    <n v="5197.84"/>
    <n v="37"/>
    <s v="Furniture"/>
    <n v="1712.43"/>
    <n v="1980.06"/>
    <s v="New"/>
    <n v="0.26"/>
    <s v="Cash"/>
    <s v="Online"/>
    <s v="East-David"/>
    <x v="10"/>
    <s v="Sunday"/>
    <n v="46886.333400000003"/>
    <n v="9902.3099999999959"/>
    <n v="7327.709399999997"/>
  </r>
  <r>
    <n v="1093"/>
    <d v="2023-10-01T00:00:00"/>
    <x v="3"/>
    <s v="East"/>
    <n v="1697.49"/>
    <n v="22"/>
    <s v="Electronics"/>
    <n v="2593.64"/>
    <n v="2955.5099999999902"/>
    <s v="Returning"/>
    <n v="0"/>
    <s v="Bank Transfer"/>
    <s v="Retail"/>
    <s v="East-Eve"/>
    <x v="7"/>
    <s v="Sunday"/>
    <n v="57060.079999999994"/>
    <n v="7961.1399999997875"/>
    <n v="7961.1399999997875"/>
  </r>
  <r>
    <n v="1026"/>
    <d v="2023-04-06T00:00:00"/>
    <x v="0"/>
    <s v="South"/>
    <n v="927.19"/>
    <n v="4"/>
    <s v="Electronics"/>
    <n v="3993.39"/>
    <n v="4288.3"/>
    <s v="New"/>
    <n v="0.13"/>
    <s v="Credit Card"/>
    <s v="Online"/>
    <s v="South-Bob"/>
    <x v="1"/>
    <s v="Thursday"/>
    <n v="13896.9972"/>
    <n v="1179.6400000000012"/>
    <n v="1026.286800000001"/>
  </r>
  <r>
    <n v="1074"/>
    <d v="2023-08-15T00:00:00"/>
    <x v="1"/>
    <s v="West"/>
    <n v="289.38"/>
    <n v="29"/>
    <s v="Furniture"/>
    <n v="1723.01"/>
    <n v="2197.42"/>
    <s v="New"/>
    <n v="7.0000000000000007E-2"/>
    <s v="Bank Transfer"/>
    <s v="Retail"/>
    <s v="West-David"/>
    <x v="3"/>
    <s v="Tuesday"/>
    <n v="46469.579699999995"/>
    <n v="13757.890000000003"/>
    <n v="12794.837700000002"/>
  </r>
  <r>
    <n v="1090"/>
    <d v="2023-02-08T00:00:00"/>
    <x v="2"/>
    <s v="North"/>
    <n v="1740.91"/>
    <n v="44"/>
    <s v="Clothing"/>
    <n v="3542.18"/>
    <n v="3578.49"/>
    <s v="Returning"/>
    <n v="0.12"/>
    <s v="Cash"/>
    <s v="Online"/>
    <s v="North-Charlie"/>
    <x v="0"/>
    <s v="Wednesday"/>
    <n v="137153.20959999997"/>
    <n v="1597.6399999999976"/>
    <n v="1405.9231999999979"/>
  </r>
  <r>
    <n v="1034"/>
    <d v="2023-10-29T00:00:00"/>
    <x v="1"/>
    <s v="North"/>
    <n v="8919.4699999999993"/>
    <n v="34"/>
    <s v="Food"/>
    <n v="978.15"/>
    <n v="1040.21"/>
    <s v="New"/>
    <n v="0.12"/>
    <s v="Credit Card"/>
    <s v="Retail"/>
    <s v="North-David"/>
    <x v="7"/>
    <s v="Sunday"/>
    <n v="29266.248"/>
    <n v="2110.0400000000018"/>
    <n v="1856.8352000000016"/>
  </r>
  <r>
    <n v="1007"/>
    <d v="2023-01-29T00:00:00"/>
    <x v="2"/>
    <s v="West"/>
    <n v="2491.21"/>
    <n v="13"/>
    <s v="Furniture"/>
    <n v="3765.46"/>
    <n v="3860.56"/>
    <s v="Returning"/>
    <n v="0.22"/>
    <s v="Cash"/>
    <s v="Retail"/>
    <s v="West-Charlie"/>
    <x v="5"/>
    <s v="Sunday"/>
    <n v="38181.764400000007"/>
    <n v="1236.2999999999988"/>
    <n v="964.31399999999906"/>
  </r>
  <r>
    <n v="1068"/>
    <d v="2023-11-14T00:00:00"/>
    <x v="2"/>
    <s v="West"/>
    <n v="3607.29"/>
    <n v="42"/>
    <s v="Clothing"/>
    <n v="1218.18"/>
    <n v="1566.36"/>
    <s v="Returning"/>
    <n v="0.03"/>
    <s v="Credit Card"/>
    <s v="Retail"/>
    <s v="West-Charlie"/>
    <x v="8"/>
    <s v="Tuesday"/>
    <n v="49628.653200000001"/>
    <n v="14623.559999999994"/>
    <n v="14184.853199999994"/>
  </r>
  <r>
    <n v="1058"/>
    <d v="2023-09-02T00:00:00"/>
    <x v="1"/>
    <s v="South"/>
    <n v="1142.92"/>
    <n v="9"/>
    <s v="Furniture"/>
    <n v="760.55"/>
    <n v="1086.8899999999901"/>
    <s v="Returning"/>
    <n v="0.15"/>
    <s v="Cash"/>
    <s v="Retail"/>
    <s v="South-David"/>
    <x v="2"/>
    <s v="Saturday"/>
    <n v="5818.2074999999995"/>
    <n v="2937.0599999999113"/>
    <n v="2496.5009999999247"/>
  </r>
  <r>
    <n v="1075"/>
    <d v="2023-08-24T00:00:00"/>
    <x v="2"/>
    <s v="West"/>
    <n v="2301.38"/>
    <n v="42"/>
    <s v="Clothing"/>
    <n v="967.77"/>
    <n v="1414.88"/>
    <s v="New"/>
    <n v="0.17"/>
    <s v="Bank Transfer"/>
    <s v="Online"/>
    <s v="West-Charlie"/>
    <x v="3"/>
    <s v="Thursday"/>
    <n v="33736.462199999994"/>
    <n v="18778.620000000006"/>
    <n v="15586.254600000004"/>
  </r>
  <r>
    <n v="1029"/>
    <d v="2023-07-04T00:00:00"/>
    <x v="2"/>
    <s v="North"/>
    <n v="5240.32"/>
    <n v="31"/>
    <s v="Furniture"/>
    <n v="951.21"/>
    <n v="1320.32"/>
    <s v="New"/>
    <n v="0.15"/>
    <s v="Cash"/>
    <s v="Online"/>
    <s v="North-Charlie"/>
    <x v="11"/>
    <s v="Tuesday"/>
    <n v="25064.3835"/>
    <n v="11442.409999999996"/>
    <n v="9726.0484999999971"/>
  </r>
  <r>
    <n v="1036"/>
    <d v="2023-09-29T00:00:00"/>
    <x v="0"/>
    <s v="North"/>
    <n v="6116.75"/>
    <n v="7"/>
    <s v="Clothing"/>
    <n v="2588.67"/>
    <n v="2847.76"/>
    <s v="New"/>
    <n v="0.22"/>
    <s v="Cash"/>
    <s v="Retail"/>
    <s v="North-Bob"/>
    <x v="2"/>
    <s v="Friday"/>
    <n v="14134.138200000003"/>
    <n v="1813.630000000001"/>
    <n v="1414.6314000000009"/>
  </r>
  <r>
    <n v="1089"/>
    <d v="2023-08-24T00:00:00"/>
    <x v="3"/>
    <s v="North"/>
    <n v="2528.9899999999998"/>
    <n v="4"/>
    <s v="Furniture"/>
    <n v="4231.75"/>
    <n v="4727.75"/>
    <s v="Returning"/>
    <n v="0.12"/>
    <s v="Credit Card"/>
    <s v="Retail"/>
    <s v="North-Eve"/>
    <x v="3"/>
    <s v="Thursday"/>
    <n v="14895.76"/>
    <n v="1984"/>
    <n v="1745.92"/>
  </r>
  <r>
    <n v="1021"/>
    <d v="2023-08-27T00:00:00"/>
    <x v="3"/>
    <s v="North"/>
    <n v="671.55"/>
    <n v="19"/>
    <s v="Clothing"/>
    <n v="444.05"/>
    <n v="584.44000000000005"/>
    <s v="Returning"/>
    <n v="0.28000000000000003"/>
    <s v="Cash"/>
    <s v="Retail"/>
    <s v="North-Eve"/>
    <x v="3"/>
    <s v="Sunday"/>
    <n v="6074.6040000000003"/>
    <n v="2667.4100000000008"/>
    <n v="1920.5352000000005"/>
  </r>
  <r>
    <n v="1036"/>
    <d v="2023-09-23T00:00:00"/>
    <x v="0"/>
    <s v="North"/>
    <n v="3971.23"/>
    <n v="42"/>
    <s v="Furniture"/>
    <n v="3549.43"/>
    <n v="3967.6899999999901"/>
    <s v="New"/>
    <n v="0.14000000000000001"/>
    <s v="Bank Transfer"/>
    <s v="Online"/>
    <s v="North-Bob"/>
    <x v="2"/>
    <s v="Saturday"/>
    <n v="128205.41159999999"/>
    <n v="17566.919999999591"/>
    <n v="15107.551199999647"/>
  </r>
  <r>
    <n v="1010"/>
    <d v="2023-12-25T00:00:00"/>
    <x v="1"/>
    <s v="South"/>
    <n v="2418.61"/>
    <n v="30"/>
    <s v="Food"/>
    <n v="3289.01"/>
    <n v="3508.14"/>
    <s v="New"/>
    <n v="0.17"/>
    <s v="Bank Transfer"/>
    <s v="Retail"/>
    <s v="South-David"/>
    <x v="9"/>
    <s v="Monday"/>
    <n v="81896.349000000002"/>
    <n v="6573.8999999999896"/>
    <n v="5456.3369999999913"/>
  </r>
  <r>
    <n v="1073"/>
    <d v="2023-12-06T00:00:00"/>
    <x v="4"/>
    <s v="North"/>
    <n v="2273.58"/>
    <n v="31"/>
    <s v="Food"/>
    <n v="4368.97"/>
    <n v="4696.8500000000004"/>
    <s v="Returning"/>
    <n v="0.25"/>
    <s v="Bank Transfer"/>
    <s v="Retail"/>
    <s v="North-Alice"/>
    <x v="9"/>
    <s v="Wednesday"/>
    <n v="101578.55250000001"/>
    <n v="10164.280000000002"/>
    <n v="7623.2100000000019"/>
  </r>
  <r>
    <n v="1024"/>
    <d v="2023-03-06T00:00:00"/>
    <x v="4"/>
    <s v="South"/>
    <n v="9602.64"/>
    <n v="35"/>
    <s v="Electronics"/>
    <n v="1258.53"/>
    <n v="1624.8899999999901"/>
    <s v="New"/>
    <n v="0.08"/>
    <s v="Credit Card"/>
    <s v="Online"/>
    <s v="South-Alice"/>
    <x v="4"/>
    <s v="Monday"/>
    <n v="40524.665999999997"/>
    <n v="12822.599999999655"/>
    <n v="11796.791999999683"/>
  </r>
  <r>
    <n v="1064"/>
    <d v="2023-06-26T00:00:00"/>
    <x v="4"/>
    <s v="North"/>
    <n v="6201.37"/>
    <n v="21"/>
    <s v="Clothing"/>
    <n v="2278.04"/>
    <n v="2598.58"/>
    <s v="Returning"/>
    <n v="0.02"/>
    <s v="Credit Card"/>
    <s v="Retail"/>
    <s v="North-Alice"/>
    <x v="6"/>
    <s v="Monday"/>
    <n v="46882.063199999997"/>
    <n v="6731.3399999999992"/>
    <n v="6596.7131999999992"/>
  </r>
  <r>
    <n v="1099"/>
    <d v="2023-01-03T00:00:00"/>
    <x v="0"/>
    <s v="East"/>
    <n v="5613.1"/>
    <n v="31"/>
    <s v="Furniture"/>
    <n v="4632.8500000000004"/>
    <n v="4711.7"/>
    <s v="New"/>
    <n v="0.21"/>
    <s v="Cash"/>
    <s v="Retail"/>
    <s v="East-Bob"/>
    <x v="5"/>
    <s v="Tuesday"/>
    <n v="113458.49650000001"/>
    <n v="2444.3499999999831"/>
    <n v="1931.0364999999867"/>
  </r>
  <r>
    <n v="1049"/>
    <d v="2023-05-22T00:00:00"/>
    <x v="0"/>
    <s v="East"/>
    <n v="4216.17"/>
    <n v="19"/>
    <s v="Clothing"/>
    <n v="3316.97"/>
    <n v="3544.02"/>
    <s v="Returning"/>
    <n v="0.14000000000000001"/>
    <s v="Cash"/>
    <s v="Online"/>
    <s v="East-Bob"/>
    <x v="10"/>
    <s v="Monday"/>
    <n v="54199.289799999991"/>
    <n v="4313.9500000000035"/>
    <n v="3709.997000000003"/>
  </r>
  <r>
    <n v="1099"/>
    <d v="2023-06-07T00:00:00"/>
    <x v="2"/>
    <s v="East"/>
    <n v="4346.55"/>
    <n v="31"/>
    <s v="Food"/>
    <n v="1974.4"/>
    <n v="2259.5"/>
    <s v="New"/>
    <n v="0.27"/>
    <s v="Cash"/>
    <s v="Retail"/>
    <s v="East-Charlie"/>
    <x v="6"/>
    <s v="Wednesday"/>
    <n v="44680.671999999999"/>
    <n v="8838.0999999999967"/>
    <n v="6451.8129999999974"/>
  </r>
  <r>
    <n v="1036"/>
    <d v="2023-11-20T00:00:00"/>
    <x v="4"/>
    <s v="East"/>
    <n v="5454.96"/>
    <n v="32"/>
    <s v="Clothing"/>
    <n v="700.49"/>
    <n v="1126.52"/>
    <s v="New"/>
    <n v="0.28999999999999998"/>
    <s v="Credit Card"/>
    <s v="Retail"/>
    <s v="East-Alice"/>
    <x v="8"/>
    <s v="Monday"/>
    <n v="15915.132799999999"/>
    <n v="13632.96"/>
    <n v="9679.4015999999992"/>
  </r>
  <r>
    <n v="1082"/>
    <d v="2023-05-26T00:00:00"/>
    <x v="1"/>
    <s v="South"/>
    <n v="6994.66"/>
    <n v="2"/>
    <s v="Furniture"/>
    <n v="1349.3"/>
    <n v="1576.69"/>
    <s v="Returning"/>
    <n v="0.12"/>
    <s v="Credit Card"/>
    <s v="Online"/>
    <s v="South-David"/>
    <x v="10"/>
    <s v="Friday"/>
    <n v="2374.768"/>
    <n v="454.7800000000002"/>
    <n v="400.2064000000002"/>
  </r>
  <r>
    <n v="1096"/>
    <d v="2023-10-20T00:00:00"/>
    <x v="1"/>
    <s v="South"/>
    <n v="7051.25"/>
    <n v="10"/>
    <s v="Clothing"/>
    <n v="2927.02"/>
    <n v="3387.21"/>
    <s v="Returning"/>
    <n v="0.12"/>
    <s v="Cash"/>
    <s v="Retail"/>
    <s v="South-David"/>
    <x v="7"/>
    <s v="Friday"/>
    <n v="25757.776000000002"/>
    <n v="4601.9000000000005"/>
    <n v="4049.6720000000005"/>
  </r>
  <r>
    <n v="1024"/>
    <d v="2023-06-02T00:00:00"/>
    <x v="4"/>
    <s v="West"/>
    <n v="1799.77"/>
    <n v="2"/>
    <s v="Furniture"/>
    <n v="3604.93"/>
    <n v="3830.71"/>
    <s v="Returning"/>
    <n v="0.12"/>
    <s v="Credit Card"/>
    <s v="Online"/>
    <s v="West-Alice"/>
    <x v="6"/>
    <s v="Friday"/>
    <n v="6344.6768000000002"/>
    <n v="451.5600000000004"/>
    <n v="397.37280000000038"/>
  </r>
  <r>
    <n v="1023"/>
    <d v="2023-07-12T00:00:00"/>
    <x v="4"/>
    <s v="North"/>
    <n v="5051.12"/>
    <n v="2"/>
    <s v="Food"/>
    <n v="665.89"/>
    <n v="944.79"/>
    <s v="New"/>
    <n v="0.1"/>
    <s v="Credit Card"/>
    <s v="Retail"/>
    <s v="North-Alice"/>
    <x v="11"/>
    <s v="Wednesday"/>
    <n v="1198.6020000000001"/>
    <n v="557.79999999999995"/>
    <n v="502.02"/>
  </r>
  <r>
    <n v="1062"/>
    <d v="2023-03-14T00:00:00"/>
    <x v="4"/>
    <s v="East"/>
    <n v="4178.3900000000003"/>
    <n v="24"/>
    <s v="Food"/>
    <n v="3018.01"/>
    <n v="3418.19"/>
    <s v="Returning"/>
    <n v="0.23"/>
    <s v="Bank Transfer"/>
    <s v="Retail"/>
    <s v="East-Alice"/>
    <x v="4"/>
    <s v="Tuesday"/>
    <n v="55772.824800000002"/>
    <n v="9604.3199999999961"/>
    <n v="7395.3263999999972"/>
  </r>
  <r>
    <n v="1096"/>
    <d v="2023-11-01T00:00:00"/>
    <x v="0"/>
    <s v="South"/>
    <n v="8718.2199999999993"/>
    <n v="17"/>
    <s v="Food"/>
    <n v="2774.24"/>
    <n v="3069.9399999999901"/>
    <s v="Returning"/>
    <n v="0.23"/>
    <s v="Bank Transfer"/>
    <s v="Retail"/>
    <s v="South-Bob"/>
    <x v="8"/>
    <s v="Wednesday"/>
    <n v="36314.801599999999"/>
    <n v="5026.8999999998341"/>
    <n v="3870.7129999998724"/>
  </r>
  <r>
    <n v="1037"/>
    <d v="2023-12-10T00:00:00"/>
    <x v="0"/>
    <s v="North"/>
    <n v="6351.05"/>
    <n v="32"/>
    <s v="Electronics"/>
    <n v="2594.08"/>
    <n v="3074.59"/>
    <s v="New"/>
    <n v="0.14000000000000001"/>
    <s v="Cash"/>
    <s v="Retail"/>
    <s v="North-Bob"/>
    <x v="9"/>
    <s v="Sunday"/>
    <n v="71389.08159999999"/>
    <n v="15376.320000000007"/>
    <n v="13223.635200000006"/>
  </r>
  <r>
    <n v="1012"/>
    <d v="2023-05-20T00:00:00"/>
    <x v="0"/>
    <s v="North"/>
    <n v="5371.79"/>
    <n v="16"/>
    <s v="Food"/>
    <n v="3466.11"/>
    <n v="3799.67"/>
    <s v="Returning"/>
    <n v="0.01"/>
    <s v="Cash"/>
    <s v="Retail"/>
    <s v="North-Bob"/>
    <x v="10"/>
    <s v="Saturday"/>
    <n v="54903.182400000005"/>
    <n v="5336.9599999999991"/>
    <n v="5283.5903999999991"/>
  </r>
  <r>
    <n v="1055"/>
    <d v="2023-07-06T00:00:00"/>
    <x v="3"/>
    <s v="South"/>
    <n v="1242.4100000000001"/>
    <n v="16"/>
    <s v="Clothing"/>
    <n v="4195.38"/>
    <n v="4461.51"/>
    <s v="Returning"/>
    <n v="0.09"/>
    <s v="Bank Transfer"/>
    <s v="Online"/>
    <s v="South-Eve"/>
    <x v="11"/>
    <s v="Thursday"/>
    <n v="61084.732800000005"/>
    <n v="4258.0800000000017"/>
    <n v="3874.8528000000019"/>
  </r>
  <r>
    <n v="1013"/>
    <d v="2023-10-20T00:00:00"/>
    <x v="1"/>
    <s v="East"/>
    <n v="6095.82"/>
    <n v="46"/>
    <s v="Electronics"/>
    <n v="1648.8"/>
    <n v="1670.36"/>
    <s v="Returning"/>
    <n v="0.09"/>
    <s v="Credit Card"/>
    <s v="Retail"/>
    <s v="East-David"/>
    <x v="7"/>
    <s v="Friday"/>
    <n v="69018.768000000011"/>
    <n v="991.75999999999749"/>
    <n v="902.50159999999778"/>
  </r>
  <r>
    <n v="1023"/>
    <d v="2023-03-02T00:00:00"/>
    <x v="1"/>
    <s v="West"/>
    <n v="1260.32"/>
    <n v="39"/>
    <s v="Food"/>
    <n v="4450.6099999999997"/>
    <n v="4663.3399999999901"/>
    <s v="New"/>
    <n v="0.24"/>
    <s v="Cash"/>
    <s v="Retail"/>
    <s v="West-David"/>
    <x v="4"/>
    <s v="Thursday"/>
    <n v="131916.08039999998"/>
    <n v="8296.4699999996283"/>
    <n v="6305.3171999997176"/>
  </r>
  <r>
    <n v="1089"/>
    <d v="2023-07-17T00:00:00"/>
    <x v="2"/>
    <s v="North"/>
    <n v="3438.35"/>
    <n v="31"/>
    <s v="Clothing"/>
    <n v="845.14"/>
    <n v="1001.77"/>
    <s v="New"/>
    <n v="0.03"/>
    <s v="Cash"/>
    <s v="Online"/>
    <s v="North-Charlie"/>
    <x v="11"/>
    <s v="Monday"/>
    <n v="25413.359799999998"/>
    <n v="4855.53"/>
    <n v="4709.8640999999998"/>
  </r>
  <r>
    <n v="1099"/>
    <d v="2023-10-22T00:00:00"/>
    <x v="0"/>
    <s v="West"/>
    <n v="1514.14"/>
    <n v="43"/>
    <s v="Clothing"/>
    <n v="906.47"/>
    <n v="1283.04"/>
    <s v="New"/>
    <n v="0.24"/>
    <s v="Cash"/>
    <s v="Online"/>
    <s v="West-Bob"/>
    <x v="7"/>
    <s v="Sunday"/>
    <n v="29623.439599999998"/>
    <n v="16192.509999999997"/>
    <n v="12306.307599999998"/>
  </r>
  <r>
    <n v="1030"/>
    <d v="2023-11-15T00:00:00"/>
    <x v="3"/>
    <s v="East"/>
    <n v="6951.53"/>
    <n v="24"/>
    <s v="Clothing"/>
    <n v="1370.52"/>
    <n v="1482.58"/>
    <s v="Returning"/>
    <n v="0.2"/>
    <s v="Credit Card"/>
    <s v="Retail"/>
    <s v="East-Eve"/>
    <x v="8"/>
    <s v="Wednesday"/>
    <n v="26313.983999999997"/>
    <n v="2689.4399999999987"/>
    <n v="2151.5519999999992"/>
  </r>
  <r>
    <n v="1017"/>
    <d v="2023-10-29T00:00:00"/>
    <x v="3"/>
    <s v="East"/>
    <n v="2141.9"/>
    <n v="1"/>
    <s v="Furniture"/>
    <n v="641.67999999999995"/>
    <n v="752.24"/>
    <s v="New"/>
    <n v="0.22"/>
    <s v="Bank Transfer"/>
    <s v="Online"/>
    <s v="East-Eve"/>
    <x v="7"/>
    <s v="Sunday"/>
    <n v="500.5104"/>
    <n v="110.56000000000006"/>
    <n v="86.236800000000045"/>
  </r>
  <r>
    <n v="1062"/>
    <d v="2023-12-10T00:00:00"/>
    <x v="1"/>
    <s v="West"/>
    <n v="3979.41"/>
    <n v="11"/>
    <s v="Electronics"/>
    <n v="1190.08"/>
    <n v="1292.9399999999901"/>
    <s v="Returning"/>
    <n v="0.13"/>
    <s v="Cash"/>
    <s v="Retail"/>
    <s v="West-David"/>
    <x v="9"/>
    <s v="Sunday"/>
    <n v="11389.0656"/>
    <n v="1131.4599999998914"/>
    <n v="984.37019999990548"/>
  </r>
  <r>
    <n v="1084"/>
    <d v="2023-01-11T00:00:00"/>
    <x v="0"/>
    <s v="East"/>
    <n v="8967.18"/>
    <n v="21"/>
    <s v="Clothing"/>
    <n v="576.74"/>
    <n v="648.29"/>
    <s v="Returning"/>
    <n v="0.2"/>
    <s v="Bank Transfer"/>
    <s v="Online"/>
    <s v="East-Bob"/>
    <x v="5"/>
    <s v="Wednesday"/>
    <n v="9689.2320000000018"/>
    <n v="1502.549999999999"/>
    <n v="1202.0399999999993"/>
  </r>
  <r>
    <n v="1089"/>
    <d v="2023-03-03T00:00:00"/>
    <x v="2"/>
    <s v="North"/>
    <n v="2122.73"/>
    <n v="4"/>
    <s v="Furniture"/>
    <n v="4117.67"/>
    <n v="4280.0600000000004"/>
    <s v="Returning"/>
    <n v="0.18"/>
    <s v="Bank Transfer"/>
    <s v="Online"/>
    <s v="North-Charlie"/>
    <x v="4"/>
    <s v="Friday"/>
    <n v="13505.957600000002"/>
    <n v="649.56000000000131"/>
    <n v="532.6392000000011"/>
  </r>
  <r>
    <n v="1086"/>
    <d v="2023-11-29T00:00:00"/>
    <x v="0"/>
    <s v="West"/>
    <n v="5127.2700000000004"/>
    <n v="7"/>
    <s v="Food"/>
    <n v="737.9"/>
    <n v="1182"/>
    <s v="New"/>
    <n v="0.23"/>
    <s v="Credit Card"/>
    <s v="Retail"/>
    <s v="West-Bob"/>
    <x v="8"/>
    <s v="Wednesday"/>
    <n v="3977.2810000000004"/>
    <n v="3108.7000000000003"/>
    <n v="2393.6990000000001"/>
  </r>
  <r>
    <n v="1013"/>
    <d v="2023-08-14T00:00:00"/>
    <x v="4"/>
    <s v="East"/>
    <n v="4250.79"/>
    <n v="26"/>
    <s v="Clothing"/>
    <n v="3749.12"/>
    <n v="4138.83"/>
    <s v="New"/>
    <n v="0.13"/>
    <s v="Credit Card"/>
    <s v="Online"/>
    <s v="East-Alice"/>
    <x v="3"/>
    <s v="Monday"/>
    <n v="84805.094400000002"/>
    <n v="10132.460000000001"/>
    <n v="8815.2402000000002"/>
  </r>
  <r>
    <n v="1059"/>
    <d v="2023-06-02T00:00:00"/>
    <x v="0"/>
    <s v="West"/>
    <n v="279.43"/>
    <n v="47"/>
    <s v="Furniture"/>
    <n v="287.17"/>
    <n v="657.44"/>
    <s v="Returning"/>
    <n v="0.14000000000000001"/>
    <s v="Credit Card"/>
    <s v="Retail"/>
    <s v="West-Bob"/>
    <x v="6"/>
    <s v="Friday"/>
    <n v="11607.411400000001"/>
    <n v="17402.690000000002"/>
    <n v="14966.313400000001"/>
  </r>
  <r>
    <n v="1019"/>
    <d v="2023-07-18T00:00:00"/>
    <x v="4"/>
    <s v="North"/>
    <n v="7948.31"/>
    <n v="12"/>
    <s v="Clothing"/>
    <n v="4745.18"/>
    <n v="5145.88"/>
    <s v="Returning"/>
    <n v="0.19"/>
    <s v="Credit Card"/>
    <s v="Online"/>
    <s v="North-Alice"/>
    <x v="11"/>
    <s v="Tuesday"/>
    <n v="46123.149600000004"/>
    <n v="4808.3999999999978"/>
    <n v="3894.8039999999983"/>
  </r>
  <r>
    <n v="1049"/>
    <d v="2023-02-21T00:00:00"/>
    <x v="4"/>
    <s v="East"/>
    <n v="783.55"/>
    <n v="31"/>
    <s v="Electronics"/>
    <n v="3570.24"/>
    <n v="3712.25"/>
    <s v="New"/>
    <n v="0.03"/>
    <s v="Credit Card"/>
    <s v="Online"/>
    <s v="East-Alice"/>
    <x v="0"/>
    <s v="Tuesday"/>
    <n v="107357.11679999999"/>
    <n v="4402.3100000000068"/>
    <n v="4270.2407000000067"/>
  </r>
  <r>
    <n v="1100"/>
    <d v="2023-09-17T00:00:00"/>
    <x v="2"/>
    <s v="North"/>
    <n v="4795.12"/>
    <n v="17"/>
    <s v="Electronics"/>
    <n v="83.64"/>
    <n v="528.49"/>
    <s v="New"/>
    <n v="0.13"/>
    <s v="Credit Card"/>
    <s v="Online"/>
    <s v="North-Charlie"/>
    <x v="2"/>
    <s v="Sunday"/>
    <n v="1237.0356000000002"/>
    <n v="7562.4500000000007"/>
    <n v="6579.3315000000002"/>
  </r>
  <r>
    <n v="1012"/>
    <d v="2023-02-28T00:00:00"/>
    <x v="1"/>
    <s v="East"/>
    <n v="5650.72"/>
    <n v="33"/>
    <s v="Food"/>
    <n v="3831.09"/>
    <n v="3908.37"/>
    <s v="New"/>
    <n v="0.28999999999999998"/>
    <s v="Cash"/>
    <s v="Retail"/>
    <s v="East-David"/>
    <x v="0"/>
    <s v="Tuesday"/>
    <n v="89762.438699999999"/>
    <n v="2550.2399999999916"/>
    <n v="1810.6703999999938"/>
  </r>
  <r>
    <n v="1061"/>
    <d v="2023-03-13T00:00:00"/>
    <x v="0"/>
    <s v="South"/>
    <n v="6321.42"/>
    <n v="11"/>
    <s v="Clothing"/>
    <n v="2594.71"/>
    <n v="2769.52"/>
    <s v="Returning"/>
    <n v="0.01"/>
    <s v="Bank Transfer"/>
    <s v="Retail"/>
    <s v="South-Bob"/>
    <x v="4"/>
    <s v="Monday"/>
    <n v="28256.391900000002"/>
    <n v="1922.9099999999994"/>
    <n v="1903.6808999999994"/>
  </r>
  <r>
    <n v="1019"/>
    <d v="2023-05-28T00:00:00"/>
    <x v="4"/>
    <s v="East"/>
    <n v="6917.45"/>
    <n v="28"/>
    <s v="Furniture"/>
    <n v="3907.86"/>
    <n v="4205.37"/>
    <s v="New"/>
    <n v="0.09"/>
    <s v="Credit Card"/>
    <s v="Online"/>
    <s v="East-Alice"/>
    <x v="10"/>
    <s v="Sunday"/>
    <n v="99572.272800000006"/>
    <n v="8330.2799999999934"/>
    <n v="7580.5547999999944"/>
  </r>
  <r>
    <n v="1076"/>
    <d v="2023-12-15T00:00:00"/>
    <x v="0"/>
    <s v="West"/>
    <n v="2607.4"/>
    <n v="32"/>
    <s v="Food"/>
    <n v="2636.36"/>
    <n v="2696.78"/>
    <s v="New"/>
    <n v="0.09"/>
    <s v="Cash"/>
    <s v="Retail"/>
    <s v="West-Bob"/>
    <x v="9"/>
    <s v="Friday"/>
    <n v="76770.803200000009"/>
    <n v="1933.4400000000023"/>
    <n v="1759.4304000000022"/>
  </r>
  <r>
    <n v="1009"/>
    <d v="2023-03-04T00:00:00"/>
    <x v="1"/>
    <s v="East"/>
    <n v="198.79"/>
    <n v="1"/>
    <s v="Clothing"/>
    <n v="3223.07"/>
    <n v="3590.83"/>
    <s v="New"/>
    <n v="0.19"/>
    <s v="Bank Transfer"/>
    <s v="Retail"/>
    <s v="East-David"/>
    <x v="4"/>
    <s v="Saturday"/>
    <n v="2610.6867000000002"/>
    <n v="367.75999999999976"/>
    <n v="297.88559999999984"/>
  </r>
  <r>
    <n v="1071"/>
    <d v="2023-11-06T00:00:00"/>
    <x v="1"/>
    <s v="North"/>
    <n v="7262.09"/>
    <n v="47"/>
    <s v="Food"/>
    <n v="3942.34"/>
    <n v="4142.09"/>
    <s v="Returning"/>
    <n v="0.03"/>
    <s v="Credit Card"/>
    <s v="Retail"/>
    <s v="North-David"/>
    <x v="8"/>
    <s v="Monday"/>
    <n v="179731.2806"/>
    <n v="9388.25"/>
    <n v="9106.6024999999991"/>
  </r>
  <r>
    <n v="1028"/>
    <d v="2023-08-31T00:00:00"/>
    <x v="3"/>
    <s v="North"/>
    <n v="5403"/>
    <n v="28"/>
    <s v="Furniture"/>
    <n v="2055.2800000000002"/>
    <n v="2449.64"/>
    <s v="New"/>
    <n v="0.19"/>
    <s v="Credit Card"/>
    <s v="Online"/>
    <s v="North-Eve"/>
    <x v="3"/>
    <s v="Thursday"/>
    <n v="46613.750400000004"/>
    <n v="11042.079999999991"/>
    <n v="8944.0847999999933"/>
  </r>
  <r>
    <n v="1078"/>
    <d v="2024-01-01T00:00:00"/>
    <x v="1"/>
    <s v="East"/>
    <n v="8377.57"/>
    <n v="42"/>
    <s v="Food"/>
    <n v="63.41"/>
    <n v="314.93"/>
    <s v="Returning"/>
    <n v="0.03"/>
    <s v="Cash"/>
    <s v="Retail"/>
    <s v="East-David"/>
    <x v="5"/>
    <s v="Monday"/>
    <n v="2583.3233999999998"/>
    <n v="10563.84"/>
    <n v="10246.924800000001"/>
  </r>
  <r>
    <n v="1095"/>
    <d v="2023-11-26T00:00:00"/>
    <x v="2"/>
    <s v="West"/>
    <n v="8231.74"/>
    <n v="7"/>
    <s v="Food"/>
    <n v="4257.24"/>
    <n v="4355.87"/>
    <s v="Returning"/>
    <n v="0.03"/>
    <s v="Bank Transfer"/>
    <s v="Online"/>
    <s v="West-Charlie"/>
    <x v="8"/>
    <s v="Sunday"/>
    <n v="28906.659599999999"/>
    <n v="690.41000000000076"/>
    <n v="669.69770000000074"/>
  </r>
  <r>
    <n v="1052"/>
    <d v="2023-04-17T00:00:00"/>
    <x v="4"/>
    <s v="South"/>
    <n v="8448.93"/>
    <n v="2"/>
    <s v="Food"/>
    <n v="1935.41"/>
    <n v="2305.44"/>
    <s v="Returning"/>
    <n v="0.22"/>
    <s v="Credit Card"/>
    <s v="Online"/>
    <s v="South-Alice"/>
    <x v="1"/>
    <s v="Monday"/>
    <n v="3019.2396000000003"/>
    <n v="740.06"/>
    <n v="577.24680000000001"/>
  </r>
  <r>
    <n v="1083"/>
    <d v="2023-08-14T00:00:00"/>
    <x v="3"/>
    <s v="West"/>
    <n v="4902.4399999999996"/>
    <n v="42"/>
    <s v="Clothing"/>
    <n v="2505.41"/>
    <n v="2638.96"/>
    <s v="New"/>
    <n v="0.1"/>
    <s v="Bank Transfer"/>
    <s v="Online"/>
    <s v="West-Eve"/>
    <x v="3"/>
    <s v="Monday"/>
    <n v="94704.498000000007"/>
    <n v="5609.1000000000076"/>
    <n v="5048.1900000000069"/>
  </r>
  <r>
    <n v="1016"/>
    <d v="2023-11-09T00:00:00"/>
    <x v="2"/>
    <s v="South"/>
    <n v="3402.92"/>
    <n v="24"/>
    <s v="Furniture"/>
    <n v="88.44"/>
    <n v="338.94"/>
    <s v="New"/>
    <n v="0.28999999999999998"/>
    <s v="Cash"/>
    <s v="Online"/>
    <s v="South-Charlie"/>
    <x v="8"/>
    <s v="Thursday"/>
    <n v="1507.0175999999999"/>
    <n v="6012"/>
    <n v="4268.5199999999995"/>
  </r>
  <r>
    <n v="1069"/>
    <d v="2023-08-06T00:00:00"/>
    <x v="0"/>
    <s v="North"/>
    <n v="7936.43"/>
    <n v="4"/>
    <s v="Electronics"/>
    <n v="2485.86"/>
    <n v="2532.87"/>
    <s v="New"/>
    <n v="0.01"/>
    <s v="Credit Card"/>
    <s v="Online"/>
    <s v="North-Bob"/>
    <x v="3"/>
    <s v="Sunday"/>
    <n v="9844.0056000000004"/>
    <n v="188.03999999999905"/>
    <n v="186.15959999999907"/>
  </r>
  <r>
    <n v="1099"/>
    <d v="2023-08-29T00:00:00"/>
    <x v="4"/>
    <s v="West"/>
    <n v="4567.8100000000004"/>
    <n v="44"/>
    <s v="Clothing"/>
    <n v="4933.1099999999997"/>
    <n v="5245.86"/>
    <s v="Returning"/>
    <n v="0.13"/>
    <s v="Bank Transfer"/>
    <s v="Retail"/>
    <s v="West-Alice"/>
    <x v="3"/>
    <s v="Tuesday"/>
    <n v="188839.45079999999"/>
    <n v="13761"/>
    <n v="11972.07"/>
  </r>
  <r>
    <n v="1012"/>
    <d v="2023-09-16T00:00:00"/>
    <x v="1"/>
    <s v="South"/>
    <n v="1916.08"/>
    <n v="19"/>
    <s v="Electronics"/>
    <n v="1427.42"/>
    <n v="1763.69"/>
    <s v="New"/>
    <n v="0.03"/>
    <s v="Cash"/>
    <s v="Retail"/>
    <s v="South-David"/>
    <x v="2"/>
    <s v="Saturday"/>
    <n v="26307.350600000002"/>
    <n v="6389.1299999999992"/>
    <n v="6197.4560999999994"/>
  </r>
  <r>
    <n v="1025"/>
    <d v="2023-09-19T00:00:00"/>
    <x v="4"/>
    <s v="East"/>
    <n v="8564.24"/>
    <n v="26"/>
    <s v="Electronics"/>
    <n v="2007.32"/>
    <n v="2202.87"/>
    <s v="Returning"/>
    <n v="0.11"/>
    <s v="Cash"/>
    <s v="Online"/>
    <s v="East-Alice"/>
    <x v="2"/>
    <s v="Tuesday"/>
    <n v="46449.3848"/>
    <n v="5084.2999999999993"/>
    <n v="4525.0269999999991"/>
  </r>
  <r>
    <n v="1052"/>
    <d v="2023-01-05T00:00:00"/>
    <x v="0"/>
    <s v="North"/>
    <n v="8837.34"/>
    <n v="11"/>
    <s v="Clothing"/>
    <n v="3451.59"/>
    <n v="3929.26"/>
    <s v="New"/>
    <n v="0.3"/>
    <s v="Credit Card"/>
    <s v="Retail"/>
    <s v="North-Bob"/>
    <x v="5"/>
    <s v="Thursday"/>
    <n v="26577.243000000002"/>
    <n v="5254.3700000000008"/>
    <n v="3678.0590000000002"/>
  </r>
  <r>
    <n v="1085"/>
    <d v="2023-09-18T00:00:00"/>
    <x v="3"/>
    <s v="East"/>
    <n v="4716.47"/>
    <n v="40"/>
    <s v="Clothing"/>
    <n v="4083.23"/>
    <n v="4521.57"/>
    <s v="New"/>
    <n v="0.27"/>
    <s v="Bank Transfer"/>
    <s v="Retail"/>
    <s v="East-Eve"/>
    <x v="2"/>
    <s v="Monday"/>
    <n v="119230.31600000001"/>
    <n v="17533.599999999988"/>
    <n v="12799.527999999991"/>
  </r>
  <r>
    <n v="1100"/>
    <d v="2023-02-23T00:00:00"/>
    <x v="3"/>
    <s v="North"/>
    <n v="849.43"/>
    <n v="43"/>
    <s v="Furniture"/>
    <n v="2116.09"/>
    <n v="2472.98"/>
    <s v="New"/>
    <n v="0.01"/>
    <s v="Credit Card"/>
    <s v="Retail"/>
    <s v="North-Eve"/>
    <x v="0"/>
    <s v="Thursday"/>
    <n v="90081.951300000015"/>
    <n v="15346.269999999995"/>
    <n v="15192.807299999995"/>
  </r>
  <r>
    <n v="1053"/>
    <d v="2023-02-16T00:00:00"/>
    <x v="3"/>
    <s v="West"/>
    <n v="3939.48"/>
    <n v="11"/>
    <s v="Furniture"/>
    <n v="1582.86"/>
    <n v="1942.55"/>
    <s v="New"/>
    <n v="0.17"/>
    <s v="Credit Card"/>
    <s v="Retail"/>
    <s v="West-Eve"/>
    <x v="0"/>
    <s v="Thursday"/>
    <n v="14451.511799999998"/>
    <n v="3956.5900000000006"/>
    <n v="3283.9697000000006"/>
  </r>
  <r>
    <n v="1023"/>
    <d v="2023-08-03T00:00:00"/>
    <x v="1"/>
    <s v="West"/>
    <n v="8055.02"/>
    <n v="45"/>
    <s v="Food"/>
    <n v="4692.24"/>
    <n v="4825.92"/>
    <s v="Returning"/>
    <n v="0.19"/>
    <s v="Bank Transfer"/>
    <s v="Retail"/>
    <s v="West-David"/>
    <x v="3"/>
    <s v="Thursday"/>
    <n v="171032.14800000002"/>
    <n v="6015.6000000000131"/>
    <n v="4872.6360000000113"/>
  </r>
  <r>
    <n v="1016"/>
    <d v="2023-06-26T00:00:00"/>
    <x v="2"/>
    <s v="North"/>
    <n v="9027.56"/>
    <n v="3"/>
    <s v="Electronics"/>
    <n v="3401.87"/>
    <n v="3733.71"/>
    <s v="Returning"/>
    <n v="0.06"/>
    <s v="Bank Transfer"/>
    <s v="Retail"/>
    <s v="North-Charlie"/>
    <x v="6"/>
    <s v="Monday"/>
    <n v="9593.2734"/>
    <n v="995.52000000000044"/>
    <n v="935.78880000000038"/>
  </r>
  <r>
    <n v="1057"/>
    <d v="2023-01-09T00:00:00"/>
    <x v="2"/>
    <s v="North"/>
    <n v="2114.38"/>
    <n v="12"/>
    <s v="Furniture"/>
    <n v="639.16"/>
    <n v="746.28"/>
    <s v="Returning"/>
    <n v="0.04"/>
    <s v="Bank Transfer"/>
    <s v="Retail"/>
    <s v="North-Charlie"/>
    <x v="5"/>
    <s v="Monday"/>
    <n v="7363.1232"/>
    <n v="1285.44"/>
    <n v="1234.0224000000001"/>
  </r>
  <r>
    <n v="1039"/>
    <d v="2023-04-09T00:00:00"/>
    <x v="4"/>
    <s v="North"/>
    <n v="763.04"/>
    <n v="3"/>
    <s v="Food"/>
    <n v="391.19"/>
    <n v="471.75"/>
    <s v="Returning"/>
    <n v="0.27"/>
    <s v="Cash"/>
    <s v="Online"/>
    <s v="North-Alice"/>
    <x v="1"/>
    <s v="Sunday"/>
    <n v="856.70609999999988"/>
    <n v="241.68"/>
    <n v="176.4264"/>
  </r>
  <r>
    <n v="1053"/>
    <d v="2023-01-20T00:00:00"/>
    <x v="1"/>
    <s v="West"/>
    <n v="8785.77"/>
    <n v="42"/>
    <s v="Furniture"/>
    <n v="2443.5700000000002"/>
    <n v="2943.31"/>
    <s v="New"/>
    <n v="0.28999999999999998"/>
    <s v="Cash"/>
    <s v="Online"/>
    <s v="West-David"/>
    <x v="5"/>
    <s v="Friday"/>
    <n v="72867.257400000002"/>
    <n v="20989.079999999991"/>
    <n v="14902.246799999994"/>
  </r>
  <r>
    <n v="1042"/>
    <d v="2023-08-29T00:00:00"/>
    <x v="3"/>
    <s v="South"/>
    <n v="3955.11"/>
    <n v="27"/>
    <s v="Clothing"/>
    <n v="1139.45"/>
    <n v="1454.41"/>
    <s v="Returning"/>
    <n v="0.3"/>
    <s v="Bank Transfer"/>
    <s v="Online"/>
    <s v="South-Eve"/>
    <x v="3"/>
    <s v="Tuesday"/>
    <n v="21535.605"/>
    <n v="8503.9200000000019"/>
    <n v="5952.7440000000006"/>
  </r>
  <r>
    <n v="1058"/>
    <d v="2023-03-02T00:00:00"/>
    <x v="3"/>
    <s v="East"/>
    <n v="5463.43"/>
    <n v="49"/>
    <s v="Furniture"/>
    <n v="1307.22"/>
    <n v="1528.4"/>
    <s v="Returning"/>
    <n v="0.24"/>
    <s v="Cash"/>
    <s v="Retail"/>
    <s v="East-Eve"/>
    <x v="4"/>
    <s v="Thursday"/>
    <n v="48680.872799999997"/>
    <n v="10837.820000000003"/>
    <n v="8236.7432000000026"/>
  </r>
  <r>
    <n v="1039"/>
    <d v="2023-06-27T00:00:00"/>
    <x v="0"/>
    <s v="East"/>
    <n v="9683.85"/>
    <n v="2"/>
    <s v="Electronics"/>
    <n v="4394.58"/>
    <n v="4545.78"/>
    <s v="Returning"/>
    <n v="0.2"/>
    <s v="Credit Card"/>
    <s v="Retail"/>
    <s v="East-Bob"/>
    <x v="6"/>
    <s v="Tuesday"/>
    <n v="7031.3280000000004"/>
    <n v="302.39999999999964"/>
    <n v="241.91999999999973"/>
  </r>
  <r>
    <n v="1014"/>
    <d v="2023-12-04T00:00:00"/>
    <x v="0"/>
    <s v="West"/>
    <n v="758.99"/>
    <n v="49"/>
    <s v="Furniture"/>
    <n v="493.35"/>
    <n v="799.27"/>
    <s v="New"/>
    <n v="0.1"/>
    <s v="Bank Transfer"/>
    <s v="Online"/>
    <s v="West-Bob"/>
    <x v="9"/>
    <s v="Monday"/>
    <n v="21756.735000000001"/>
    <n v="14990.079999999998"/>
    <n v="13491.071999999998"/>
  </r>
  <r>
    <n v="1095"/>
    <d v="2023-03-03T00:00:00"/>
    <x v="3"/>
    <s v="East"/>
    <n v="6518.35"/>
    <n v="16"/>
    <s v="Electronics"/>
    <n v="3591.05"/>
    <n v="3625.35"/>
    <s v="Returning"/>
    <n v="0.05"/>
    <s v="Credit Card"/>
    <s v="Retail"/>
    <s v="East-Eve"/>
    <x v="4"/>
    <s v="Friday"/>
    <n v="54583.96"/>
    <n v="548.79999999999563"/>
    <n v="521.35999999999581"/>
  </r>
  <r>
    <n v="1005"/>
    <d v="2023-05-25T00:00:00"/>
    <x v="3"/>
    <s v="North"/>
    <n v="833.64"/>
    <n v="2"/>
    <s v="Clothing"/>
    <n v="1392.15"/>
    <n v="1448.54"/>
    <s v="Returning"/>
    <n v="0.02"/>
    <s v="Bank Transfer"/>
    <s v="Retail"/>
    <s v="North-Eve"/>
    <x v="10"/>
    <s v="Thursday"/>
    <n v="2728.614"/>
    <n v="112.77999999999975"/>
    <n v="110.52439999999974"/>
  </r>
  <r>
    <n v="1035"/>
    <d v="2023-08-04T00:00:00"/>
    <x v="1"/>
    <s v="South"/>
    <n v="3817.14"/>
    <n v="30"/>
    <s v="Electronics"/>
    <n v="3813.62"/>
    <n v="3839.72"/>
    <s v="New"/>
    <n v="0.21"/>
    <s v="Credit Card"/>
    <s v="Online"/>
    <s v="South-David"/>
    <x v="3"/>
    <s v="Friday"/>
    <n v="90382.793999999994"/>
    <n v="782.99999999999727"/>
    <n v="618.56999999999789"/>
  </r>
  <r>
    <n v="1087"/>
    <d v="2023-01-03T00:00:00"/>
    <x v="2"/>
    <s v="East"/>
    <n v="8057.76"/>
    <n v="20"/>
    <s v="Furniture"/>
    <n v="3625.94"/>
    <n v="3880.53"/>
    <s v="New"/>
    <n v="0.24"/>
    <s v="Bank Transfer"/>
    <s v="Online"/>
    <s v="East-Charlie"/>
    <x v="5"/>
    <s v="Tuesday"/>
    <n v="55114.288"/>
    <n v="5091.8000000000029"/>
    <n v="3869.7680000000023"/>
  </r>
  <r>
    <n v="1093"/>
    <d v="2023-06-09T00:00:00"/>
    <x v="0"/>
    <s v="South"/>
    <n v="4391.38"/>
    <n v="38"/>
    <s v="Food"/>
    <n v="86.59"/>
    <n v="390.89"/>
    <s v="Returning"/>
    <n v="0.25"/>
    <s v="Credit Card"/>
    <s v="Online"/>
    <s v="South-Bob"/>
    <x v="6"/>
    <s v="Friday"/>
    <n v="2467.8150000000001"/>
    <n v="11563.399999999998"/>
    <n v="8672.5499999999993"/>
  </r>
  <r>
    <n v="1075"/>
    <d v="2023-08-15T00:00:00"/>
    <x v="2"/>
    <s v="North"/>
    <n v="9972.11"/>
    <n v="28"/>
    <s v="Clothing"/>
    <n v="2570.2199999999998"/>
    <n v="2610.8399999999901"/>
    <s v="Returning"/>
    <n v="0.27"/>
    <s v="Bank Transfer"/>
    <s v="Retail"/>
    <s v="North-Charlie"/>
    <x v="3"/>
    <s v="Tuesday"/>
    <n v="52535.296799999989"/>
    <n v="1137.3599999997296"/>
    <n v="830.2727999998026"/>
  </r>
  <r>
    <n v="1018"/>
    <d v="2023-09-26T00:00:00"/>
    <x v="1"/>
    <s v="East"/>
    <n v="5634.69"/>
    <n v="25"/>
    <s v="Furniture"/>
    <n v="739.63"/>
    <n v="1103.03"/>
    <s v="New"/>
    <n v="0.26"/>
    <s v="Bank Transfer"/>
    <s v="Retail"/>
    <s v="East-David"/>
    <x v="2"/>
    <s v="Tuesday"/>
    <n v="13683.155000000001"/>
    <n v="9085"/>
    <n v="6722.9"/>
  </r>
  <r>
    <n v="1076"/>
    <d v="2023-04-30T00:00:00"/>
    <x v="3"/>
    <s v="West"/>
    <n v="3279.51"/>
    <n v="32"/>
    <s v="Clothing"/>
    <n v="4337.82"/>
    <n v="4460.71"/>
    <s v="Returning"/>
    <n v="0.3"/>
    <s v="Cash"/>
    <s v="Retail"/>
    <s v="West-Eve"/>
    <x v="1"/>
    <s v="Sunday"/>
    <n v="97167.167999999991"/>
    <n v="3932.4800000000105"/>
    <n v="2752.7360000000072"/>
  </r>
  <r>
    <n v="1009"/>
    <d v="2023-03-30T00:00:00"/>
    <x v="2"/>
    <s v="South"/>
    <n v="2279.1"/>
    <n v="10"/>
    <s v="Clothing"/>
    <n v="4364.3500000000004"/>
    <n v="4710.1000000000004"/>
    <s v="New"/>
    <n v="7.0000000000000007E-2"/>
    <s v="Credit Card"/>
    <s v="Online"/>
    <s v="South-Charlie"/>
    <x v="4"/>
    <s v="Thursday"/>
    <n v="40588.454999999994"/>
    <n v="3457.5"/>
    <n v="3215.4749999999999"/>
  </r>
  <r>
    <n v="1074"/>
    <d v="2023-11-25T00:00:00"/>
    <x v="3"/>
    <s v="North"/>
    <n v="3570.15"/>
    <n v="42"/>
    <s v="Furniture"/>
    <n v="2120.81"/>
    <n v="2611.94"/>
    <s v="Returning"/>
    <n v="0.23"/>
    <s v="Cash"/>
    <s v="Online"/>
    <s v="North-Eve"/>
    <x v="8"/>
    <s v="Saturday"/>
    <n v="68586.9954"/>
    <n v="20627.460000000006"/>
    <n v="15883.144200000006"/>
  </r>
  <r>
    <n v="1058"/>
    <d v="2023-03-09T00:00:00"/>
    <x v="3"/>
    <s v="South"/>
    <n v="3788.08"/>
    <n v="40"/>
    <s v="Furniture"/>
    <n v="2249.7600000000002"/>
    <n v="2598.4"/>
    <s v="Returning"/>
    <n v="0.18"/>
    <s v="Credit Card"/>
    <s v="Retail"/>
    <s v="South-Eve"/>
    <x v="4"/>
    <s v="Thursday"/>
    <n v="73792.128000000012"/>
    <n v="13945.599999999995"/>
    <n v="11435.391999999996"/>
  </r>
  <r>
    <n v="1017"/>
    <d v="2023-12-23T00:00:00"/>
    <x v="4"/>
    <s v="East"/>
    <n v="780.27"/>
    <n v="33"/>
    <s v="Food"/>
    <n v="1551.25"/>
    <n v="1994.01"/>
    <s v="Returning"/>
    <n v="0.08"/>
    <s v="Cash"/>
    <s v="Online"/>
    <s v="East-Alice"/>
    <x v="9"/>
    <s v="Saturday"/>
    <n v="47095.950000000004"/>
    <n v="14611.08"/>
    <n v="13442.193600000001"/>
  </r>
  <r>
    <n v="1007"/>
    <d v="2023-04-08T00:00:00"/>
    <x v="2"/>
    <s v="East"/>
    <n v="3758.78"/>
    <n v="13"/>
    <s v="Clothing"/>
    <n v="3597.2"/>
    <n v="4071.8199999999902"/>
    <s v="Returning"/>
    <n v="0.28999999999999998"/>
    <s v="Bank Transfer"/>
    <s v="Online"/>
    <s v="East-Charlie"/>
    <x v="1"/>
    <s v="Saturday"/>
    <n v="33202.155999999995"/>
    <n v="6170.059999999874"/>
    <n v="4380.7425999999105"/>
  </r>
  <r>
    <n v="1046"/>
    <d v="2023-09-24T00:00:00"/>
    <x v="2"/>
    <s v="West"/>
    <n v="4695.96"/>
    <n v="41"/>
    <s v="Clothing"/>
    <n v="1825.37"/>
    <n v="2073.88"/>
    <s v="Returning"/>
    <n v="0.27"/>
    <s v="Cash"/>
    <s v="Retail"/>
    <s v="West-Charlie"/>
    <x v="2"/>
    <s v="Sunday"/>
    <n v="54633.324099999998"/>
    <n v="10188.910000000009"/>
    <n v="7437.9043000000065"/>
  </r>
  <r>
    <n v="1013"/>
    <d v="2023-04-15T00:00:00"/>
    <x v="3"/>
    <s v="North"/>
    <n v="7255.1"/>
    <n v="42"/>
    <s v="Furniture"/>
    <n v="1375.57"/>
    <n v="1729.71"/>
    <s v="New"/>
    <n v="0.04"/>
    <s v="Cash"/>
    <s v="Online"/>
    <s v="North-Eve"/>
    <x v="1"/>
    <s v="Saturday"/>
    <n v="55462.982399999994"/>
    <n v="14873.880000000005"/>
    <n v="14278.924800000004"/>
  </r>
  <r>
    <n v="1040"/>
    <d v="2023-11-19T00:00:00"/>
    <x v="1"/>
    <s v="North"/>
    <n v="6601.62"/>
    <n v="47"/>
    <s v="Electronics"/>
    <n v="2189.54"/>
    <n v="2617"/>
    <s v="New"/>
    <n v="0.01"/>
    <s v="Bank Transfer"/>
    <s v="Online"/>
    <s v="North-David"/>
    <x v="8"/>
    <s v="Sunday"/>
    <n v="101879.2962"/>
    <n v="20090.620000000003"/>
    <n v="19889.713800000001"/>
  </r>
  <r>
    <n v="1042"/>
    <d v="2023-05-03T00:00:00"/>
    <x v="4"/>
    <s v="West"/>
    <n v="7116.78"/>
    <n v="37"/>
    <s v="Furniture"/>
    <n v="502.86"/>
    <n v="687.6"/>
    <s v="Returning"/>
    <n v="0.21"/>
    <s v="Cash"/>
    <s v="Online"/>
    <s v="West-Alice"/>
    <x v="10"/>
    <s v="Wednesday"/>
    <n v="14698.5978"/>
    <n v="6835.38"/>
    <n v="5399.9502000000002"/>
  </r>
  <r>
    <n v="1009"/>
    <d v="2023-01-29T00:00:00"/>
    <x v="3"/>
    <s v="West"/>
    <n v="182.8"/>
    <n v="16"/>
    <s v="Clothing"/>
    <n v="3745.69"/>
    <n v="3883.77"/>
    <s v="Returning"/>
    <n v="0.18"/>
    <s v="Bank Transfer"/>
    <s v="Retail"/>
    <s v="West-Eve"/>
    <x v="5"/>
    <s v="Sunday"/>
    <n v="49143.452800000006"/>
    <n v="2209.2799999999988"/>
    <n v="1811.6095999999991"/>
  </r>
  <r>
    <n v="1050"/>
    <d v="2023-05-17T00:00:00"/>
    <x v="0"/>
    <s v="North"/>
    <n v="2254.91"/>
    <n v="45"/>
    <s v="Furniture"/>
    <n v="112.35"/>
    <n v="586.17999999999995"/>
    <s v="Returning"/>
    <n v="0.28000000000000003"/>
    <s v="Credit Card"/>
    <s v="Retail"/>
    <s v="North-Bob"/>
    <x v="10"/>
    <s v="Wednesday"/>
    <n v="3640.14"/>
    <n v="21322.35"/>
    <n v="15352.091999999999"/>
  </r>
  <r>
    <n v="1027"/>
    <d v="2023-07-14T00:00:00"/>
    <x v="0"/>
    <s v="South"/>
    <n v="6650.67"/>
    <n v="22"/>
    <s v="Food"/>
    <n v="3240.2"/>
    <n v="3606.0899999999901"/>
    <s v="New"/>
    <n v="7.0000000000000007E-2"/>
    <s v="Cash"/>
    <s v="Online"/>
    <s v="South-Bob"/>
    <x v="11"/>
    <s v="Friday"/>
    <n v="66294.491999999984"/>
    <n v="8049.5799999997871"/>
    <n v="7486.1093999998011"/>
  </r>
  <r>
    <n v="1066"/>
    <d v="2023-08-14T00:00:00"/>
    <x v="4"/>
    <s v="South"/>
    <n v="4891.49"/>
    <n v="20"/>
    <s v="Electronics"/>
    <n v="955.18"/>
    <n v="1072.82"/>
    <s v="New"/>
    <n v="0.03"/>
    <s v="Bank Transfer"/>
    <s v="Retail"/>
    <s v="South-Alice"/>
    <x v="3"/>
    <s v="Monday"/>
    <n v="18530.491999999998"/>
    <n v="2352.7999999999997"/>
    <n v="2282.2159999999999"/>
  </r>
  <r>
    <n v="1005"/>
    <d v="2023-11-28T00:00:00"/>
    <x v="1"/>
    <s v="West"/>
    <n v="152.6"/>
    <n v="43"/>
    <s v="Furniture"/>
    <n v="1200.4000000000001"/>
    <n v="1430.45"/>
    <s v="New"/>
    <n v="0.08"/>
    <s v="Bank Transfer"/>
    <s v="Retail"/>
    <s v="West-David"/>
    <x v="8"/>
    <s v="Tuesday"/>
    <n v="47487.824000000008"/>
    <n v="9892.1499999999978"/>
    <n v="9100.7779999999984"/>
  </r>
  <r>
    <n v="1029"/>
    <d v="2023-06-19T00:00:00"/>
    <x v="3"/>
    <s v="South"/>
    <n v="8064.5"/>
    <n v="27"/>
    <s v="Food"/>
    <n v="3196.38"/>
    <n v="3596.64"/>
    <s v="New"/>
    <n v="0.01"/>
    <s v="Cash"/>
    <s v="Retail"/>
    <s v="South-Eve"/>
    <x v="6"/>
    <s v="Monday"/>
    <n v="85439.237400000013"/>
    <n v="10807.019999999993"/>
    <n v="10698.949799999993"/>
  </r>
  <r>
    <n v="1037"/>
    <d v="2023-01-09T00:00:00"/>
    <x v="2"/>
    <s v="North"/>
    <n v="7750.81"/>
    <n v="41"/>
    <s v="Clothing"/>
    <n v="4965.07"/>
    <n v="5243.13"/>
    <s v="New"/>
    <n v="0.01"/>
    <s v="Credit Card"/>
    <s v="Online"/>
    <s v="North-Charlie"/>
    <x v="5"/>
    <s v="Monday"/>
    <n v="201532.19130000001"/>
    <n v="11400.460000000017"/>
    <n v="11286.455400000017"/>
  </r>
  <r>
    <n v="1038"/>
    <d v="2023-02-09T00:00:00"/>
    <x v="4"/>
    <s v="East"/>
    <n v="5529.35"/>
    <n v="16"/>
    <s v="Furniture"/>
    <n v="3899.7"/>
    <n v="4228.18"/>
    <s v="New"/>
    <n v="0.27"/>
    <s v="Cash"/>
    <s v="Retail"/>
    <s v="East-Alice"/>
    <x v="0"/>
    <s v="Thursday"/>
    <n v="45548.495999999999"/>
    <n v="5255.6800000000076"/>
    <n v="3836.6464000000055"/>
  </r>
  <r>
    <n v="1083"/>
    <d v="2023-01-25T00:00:00"/>
    <x v="1"/>
    <s v="East"/>
    <n v="757.99"/>
    <n v="34"/>
    <s v="Clothing"/>
    <n v="1167.9100000000001"/>
    <n v="1547.26"/>
    <s v="New"/>
    <n v="0.11"/>
    <s v="Bank Transfer"/>
    <s v="Online"/>
    <s v="East-David"/>
    <x v="5"/>
    <s v="Wednesday"/>
    <n v="35340.956600000005"/>
    <n v="12897.899999999998"/>
    <n v="11479.130999999998"/>
  </r>
  <r>
    <n v="1008"/>
    <d v="2023-09-18T00:00:00"/>
    <x v="2"/>
    <s v="South"/>
    <n v="7688.5"/>
    <n v="32"/>
    <s v="Food"/>
    <n v="921.32"/>
    <n v="1236.0999999999999"/>
    <s v="New"/>
    <n v="0.12"/>
    <s v="Credit Card"/>
    <s v="Online"/>
    <s v="South-Charlie"/>
    <x v="2"/>
    <s v="Monday"/>
    <n v="25944.371200000001"/>
    <n v="10072.959999999995"/>
    <n v="8864.2047999999959"/>
  </r>
  <r>
    <n v="1065"/>
    <d v="2023-08-14T00:00:00"/>
    <x v="0"/>
    <s v="West"/>
    <n v="5878.76"/>
    <n v="26"/>
    <s v="Clothing"/>
    <n v="4337.8500000000004"/>
    <n v="4612.49"/>
    <s v="Returning"/>
    <n v="0.01"/>
    <s v="Cash"/>
    <s v="Retail"/>
    <s v="West-Bob"/>
    <x v="3"/>
    <s v="Monday"/>
    <n v="111656.25900000001"/>
    <n v="7140.6399999999849"/>
    <n v="7069.233599999985"/>
  </r>
  <r>
    <n v="1086"/>
    <d v="2023-05-04T00:00:00"/>
    <x v="0"/>
    <s v="West"/>
    <n v="7841.4"/>
    <n v="25"/>
    <s v="Food"/>
    <n v="2248.71"/>
    <n v="2626.02"/>
    <s v="New"/>
    <n v="0.08"/>
    <s v="Bank Transfer"/>
    <s v="Online"/>
    <s v="West-Bob"/>
    <x v="10"/>
    <s v="Thursday"/>
    <n v="51720.33"/>
    <n v="9432.7499999999982"/>
    <n v="8678.1299999999992"/>
  </r>
  <r>
    <n v="1017"/>
    <d v="2023-02-07T00:00:00"/>
    <x v="2"/>
    <s v="West"/>
    <n v="7542.3"/>
    <n v="2"/>
    <s v="Food"/>
    <n v="728.41"/>
    <n v="1094.92"/>
    <s v="New"/>
    <n v="0.24"/>
    <s v="Cash"/>
    <s v="Retail"/>
    <s v="West-Charlie"/>
    <x v="0"/>
    <s v="Tuesday"/>
    <n v="1107.1831999999999"/>
    <n v="733.02000000000021"/>
    <n v="557.0952000000002"/>
  </r>
  <r>
    <n v="1071"/>
    <d v="2023-11-24T00:00:00"/>
    <x v="4"/>
    <s v="West"/>
    <n v="8049.72"/>
    <n v="12"/>
    <s v="Food"/>
    <n v="4317.95"/>
    <n v="4636.59"/>
    <s v="New"/>
    <n v="0.18"/>
    <s v="Credit Card"/>
    <s v="Retail"/>
    <s v="West-Alice"/>
    <x v="8"/>
    <s v="Friday"/>
    <n v="42488.627999999997"/>
    <n v="3823.6800000000039"/>
    <n v="3135.4176000000034"/>
  </r>
  <r>
    <n v="1089"/>
    <d v="2023-09-08T00:00:00"/>
    <x v="0"/>
    <s v="West"/>
    <n v="5228.28"/>
    <n v="40"/>
    <s v="Furniture"/>
    <n v="4089.66"/>
    <n v="4275.96"/>
    <s v="New"/>
    <n v="0.23"/>
    <s v="Credit Card"/>
    <s v="Online"/>
    <s v="West-Bob"/>
    <x v="2"/>
    <s v="Friday"/>
    <n v="125961.52799999999"/>
    <n v="7452.0000000000073"/>
    <n v="5738.0400000000054"/>
  </r>
  <r>
    <n v="1045"/>
    <d v="2023-06-25T00:00:00"/>
    <x v="3"/>
    <s v="South"/>
    <n v="1489.21"/>
    <n v="9"/>
    <s v="Clothing"/>
    <n v="4920.34"/>
    <n v="5129.1899999999996"/>
    <s v="Returning"/>
    <n v="0.13"/>
    <s v="Credit Card"/>
    <s v="Online"/>
    <s v="South-Eve"/>
    <x v="6"/>
    <s v="Sunday"/>
    <n v="38526.262199999997"/>
    <n v="1879.6499999999951"/>
    <n v="1635.2954999999956"/>
  </r>
  <r>
    <n v="1004"/>
    <d v="2023-03-31T00:00:00"/>
    <x v="2"/>
    <s v="East"/>
    <n v="6744.46"/>
    <n v="12"/>
    <s v="Clothing"/>
    <n v="4553.2299999999996"/>
    <n v="5038.74"/>
    <s v="New"/>
    <n v="0.09"/>
    <s v="Credit Card"/>
    <s v="Retail"/>
    <s v="East-Charlie"/>
    <x v="4"/>
    <s v="Friday"/>
    <n v="49721.2716"/>
    <n v="5826.1200000000026"/>
    <n v="5301.7692000000025"/>
  </r>
  <r>
    <n v="1036"/>
    <d v="2023-02-06T00:00:00"/>
    <x v="2"/>
    <s v="East"/>
    <n v="6242.69"/>
    <n v="26"/>
    <s v="Electronics"/>
    <n v="4266.3599999999997"/>
    <n v="4331.4299999999903"/>
    <s v="Returning"/>
    <n v="0.14000000000000001"/>
    <s v="Credit Card"/>
    <s v="Retail"/>
    <s v="East-Charlie"/>
    <x v="0"/>
    <s v="Monday"/>
    <n v="95395.809599999993"/>
    <n v="1691.819999999756"/>
    <n v="1454.96519999979"/>
  </r>
  <r>
    <n v="1070"/>
    <d v="2023-11-12T00:00:00"/>
    <x v="0"/>
    <s v="South"/>
    <n v="7448.31"/>
    <n v="9"/>
    <s v="Electronics"/>
    <n v="310.24"/>
    <n v="451.81"/>
    <s v="Returning"/>
    <n v="0.1"/>
    <s v="Cash"/>
    <s v="Retail"/>
    <s v="South-Bob"/>
    <x v="8"/>
    <s v="Sunday"/>
    <n v="2512.944"/>
    <n v="1274.1299999999999"/>
    <n v="1146.7169999999999"/>
  </r>
  <r>
    <n v="1031"/>
    <d v="2023-06-25T00:00:00"/>
    <x v="4"/>
    <s v="West"/>
    <n v="1781.82"/>
    <n v="10"/>
    <s v="Electronics"/>
    <n v="566.86"/>
    <n v="818.14"/>
    <s v="Returning"/>
    <n v="0.25"/>
    <s v="Credit Card"/>
    <s v="Retail"/>
    <s v="West-Alice"/>
    <x v="6"/>
    <s v="Sunday"/>
    <n v="4251.4500000000007"/>
    <n v="2512.7999999999997"/>
    <n v="1884.6"/>
  </r>
  <r>
    <n v="1019"/>
    <d v="2023-10-11T00:00:00"/>
    <x v="3"/>
    <s v="South"/>
    <n v="2030.25"/>
    <n v="32"/>
    <s v="Electronics"/>
    <n v="2866.47"/>
    <n v="3286.47"/>
    <s v="New"/>
    <n v="0.09"/>
    <s v="Credit Card"/>
    <s v="Online"/>
    <s v="South-Eve"/>
    <x v="7"/>
    <s v="Wednesday"/>
    <n v="83471.606400000004"/>
    <n v="13440"/>
    <n v="12230.4"/>
  </r>
  <r>
    <n v="1061"/>
    <d v="2023-03-22T00:00:00"/>
    <x v="4"/>
    <s v="East"/>
    <n v="8915.0499999999993"/>
    <n v="34"/>
    <s v="Clothing"/>
    <n v="2680.82"/>
    <n v="2771.02"/>
    <s v="New"/>
    <n v="0.2"/>
    <s v="Bank Transfer"/>
    <s v="Online"/>
    <s v="East-Alice"/>
    <x v="4"/>
    <s v="Wednesday"/>
    <n v="72918.304000000004"/>
    <n v="3066.7999999999938"/>
    <n v="2453.4399999999951"/>
  </r>
  <r>
    <n v="1054"/>
    <d v="2023-04-24T00:00:00"/>
    <x v="1"/>
    <s v="North"/>
    <n v="7524.78"/>
    <n v="48"/>
    <s v="Food"/>
    <n v="2316.92"/>
    <n v="2462.63"/>
    <s v="New"/>
    <n v="0.04"/>
    <s v="Credit Card"/>
    <s v="Online"/>
    <s v="North-David"/>
    <x v="1"/>
    <s v="Monday"/>
    <n v="106763.67359999999"/>
    <n v="6994.0800000000017"/>
    <n v="6714.3168000000014"/>
  </r>
  <r>
    <n v="1039"/>
    <d v="2023-02-09T00:00:00"/>
    <x v="1"/>
    <s v="South"/>
    <n v="9091.4599999999991"/>
    <n v="20"/>
    <s v="Food"/>
    <n v="2014.11"/>
    <n v="2056.35"/>
    <s v="Returning"/>
    <n v="0.21"/>
    <s v="Bank Transfer"/>
    <s v="Retail"/>
    <s v="South-David"/>
    <x v="0"/>
    <s v="Thursday"/>
    <n v="31822.937999999998"/>
    <n v="844.80000000000018"/>
    <n v="667.39200000000017"/>
  </r>
  <r>
    <n v="1091"/>
    <d v="2023-10-28T00:00:00"/>
    <x v="0"/>
    <s v="West"/>
    <n v="7611.28"/>
    <n v="39"/>
    <s v="Furniture"/>
    <n v="2184.4899999999998"/>
    <n v="2540.4199999999901"/>
    <s v="Returning"/>
    <n v="0.27"/>
    <s v="Bank Transfer"/>
    <s v="Online"/>
    <s v="West-Bob"/>
    <x v="7"/>
    <s v="Saturday"/>
    <n v="62192.430299999985"/>
    <n v="13881.269999999622"/>
    <n v="10133.327099999724"/>
  </r>
  <r>
    <n v="1074"/>
    <d v="2023-08-12T00:00:00"/>
    <x v="0"/>
    <s v="East"/>
    <n v="6011.84"/>
    <n v="2"/>
    <s v="Food"/>
    <n v="2868.02"/>
    <n v="2994.74"/>
    <s v="Returning"/>
    <n v="0.18"/>
    <s v="Bank Transfer"/>
    <s v="Online"/>
    <s v="East-Bob"/>
    <x v="3"/>
    <s v="Saturday"/>
    <n v="4703.5528000000004"/>
    <n v="253.4399999999996"/>
    <n v="207.82079999999968"/>
  </r>
  <r>
    <n v="1090"/>
    <d v="2023-11-14T00:00:00"/>
    <x v="0"/>
    <s v="East"/>
    <n v="6575.91"/>
    <n v="1"/>
    <s v="Clothing"/>
    <n v="60.28"/>
    <n v="260.73"/>
    <s v="Returning"/>
    <n v="0.17"/>
    <s v="Cash"/>
    <s v="Online"/>
    <s v="East-Bob"/>
    <x v="8"/>
    <s v="Tuesday"/>
    <n v="50.032399999999996"/>
    <n v="200.45000000000002"/>
    <n v="166.37350000000001"/>
  </r>
  <r>
    <n v="1019"/>
    <d v="2023-12-15T00:00:00"/>
    <x v="1"/>
    <s v="East"/>
    <n v="8902.3700000000008"/>
    <n v="36"/>
    <s v="Clothing"/>
    <n v="1340.51"/>
    <n v="1567.92"/>
    <s v="New"/>
    <n v="0.28999999999999998"/>
    <s v="Cash"/>
    <s v="Online"/>
    <s v="East-David"/>
    <x v="9"/>
    <s v="Friday"/>
    <n v="34263.435599999997"/>
    <n v="8186.7600000000029"/>
    <n v="5812.5996000000014"/>
  </r>
  <r>
    <n v="1039"/>
    <d v="2023-04-25T00:00:00"/>
    <x v="4"/>
    <s v="East"/>
    <n v="5830.19"/>
    <n v="24"/>
    <s v="Clothing"/>
    <n v="2615.48"/>
    <n v="3062.22"/>
    <s v="New"/>
    <n v="0.19"/>
    <s v="Bank Transfer"/>
    <s v="Retail"/>
    <s v="East-Alice"/>
    <x v="1"/>
    <s v="Tuesday"/>
    <n v="50844.931200000006"/>
    <n v="10721.759999999995"/>
    <n v="8684.6255999999958"/>
  </r>
  <r>
    <n v="1067"/>
    <d v="2023-07-05T00:00:00"/>
    <x v="4"/>
    <s v="West"/>
    <n v="6360.67"/>
    <n v="27"/>
    <s v="Furniture"/>
    <n v="3624.97"/>
    <n v="3836.52"/>
    <s v="New"/>
    <n v="0.08"/>
    <s v="Cash"/>
    <s v="Online"/>
    <s v="West-Alice"/>
    <x v="11"/>
    <s v="Wednesday"/>
    <n v="90044.254799999995"/>
    <n v="5711.8500000000049"/>
    <n v="5254.9020000000046"/>
  </r>
  <r>
    <n v="1045"/>
    <d v="2023-11-19T00:00:00"/>
    <x v="0"/>
    <s v="North"/>
    <n v="1649.12"/>
    <n v="2"/>
    <s v="Electronics"/>
    <n v="912.08"/>
    <n v="993.24"/>
    <s v="Returning"/>
    <n v="0.09"/>
    <s v="Credit Card"/>
    <s v="Online"/>
    <s v="North-Bob"/>
    <x v="8"/>
    <s v="Sunday"/>
    <n v="1659.9856000000002"/>
    <n v="162.31999999999994"/>
    <n v="147.71119999999993"/>
  </r>
  <r>
    <n v="1013"/>
    <d v="2023-02-25T00:00:00"/>
    <x v="3"/>
    <s v="East"/>
    <n v="4791.82"/>
    <n v="31"/>
    <s v="Food"/>
    <n v="2757.06"/>
    <n v="3023.97"/>
    <s v="Returning"/>
    <n v="0.21"/>
    <s v="Cash"/>
    <s v="Online"/>
    <s v="East-Eve"/>
    <x v="0"/>
    <s v="Saturday"/>
    <n v="67520.399400000009"/>
    <n v="8274.2099999999955"/>
    <n v="6536.6258999999964"/>
  </r>
  <r>
    <n v="1092"/>
    <d v="2023-02-09T00:00:00"/>
    <x v="4"/>
    <s v="South"/>
    <n v="7192.33"/>
    <n v="14"/>
    <s v="Clothing"/>
    <n v="3586.58"/>
    <n v="4068.43"/>
    <s v="New"/>
    <n v="0.22"/>
    <s v="Credit Card"/>
    <s v="Online"/>
    <s v="South-Alice"/>
    <x v="0"/>
    <s v="Thursday"/>
    <n v="39165.453600000001"/>
    <n v="6745.8999999999987"/>
    <n v="5261.8019999999988"/>
  </r>
  <r>
    <n v="1058"/>
    <d v="2023-12-20T00:00:00"/>
    <x v="1"/>
    <s v="North"/>
    <n v="2782.33"/>
    <n v="2"/>
    <s v="Clothing"/>
    <n v="2250.91"/>
    <n v="2558.6799999999998"/>
    <s v="New"/>
    <n v="0.09"/>
    <s v="Credit Card"/>
    <s v="Retail"/>
    <s v="North-David"/>
    <x v="9"/>
    <s v="Wednesday"/>
    <n v="4096.6561999999994"/>
    <n v="615.54"/>
    <n v="560.14139999999998"/>
  </r>
  <r>
    <n v="1020"/>
    <d v="2023-02-09T00:00:00"/>
    <x v="2"/>
    <s v="East"/>
    <n v="2102.3200000000002"/>
    <n v="29"/>
    <s v="Electronics"/>
    <n v="184.05"/>
    <n v="675.91"/>
    <s v="Returning"/>
    <n v="0.1"/>
    <s v="Cash"/>
    <s v="Retail"/>
    <s v="East-Charlie"/>
    <x v="0"/>
    <s v="Thursday"/>
    <n v="4803.7050000000008"/>
    <n v="14263.939999999999"/>
    <n v="12837.545999999998"/>
  </r>
  <r>
    <n v="1092"/>
    <d v="2023-12-13T00:00:00"/>
    <x v="2"/>
    <s v="North"/>
    <n v="3206.89"/>
    <n v="15"/>
    <s v="Clothing"/>
    <n v="2273.88"/>
    <n v="2696.02"/>
    <s v="New"/>
    <n v="0.3"/>
    <s v="Cash"/>
    <s v="Online"/>
    <s v="North-Charlie"/>
    <x v="9"/>
    <s v="Wednesday"/>
    <n v="23875.74"/>
    <n v="6332.0999999999985"/>
    <n v="4432.4699999999984"/>
  </r>
  <r>
    <n v="1072"/>
    <d v="2023-08-25T00:00:00"/>
    <x v="2"/>
    <s v="South"/>
    <n v="2490.86"/>
    <n v="12"/>
    <s v="Food"/>
    <n v="1517.4"/>
    <n v="1545.02"/>
    <s v="New"/>
    <n v="0.03"/>
    <s v="Bank Transfer"/>
    <s v="Retail"/>
    <s v="South-Charlie"/>
    <x v="3"/>
    <s v="Friday"/>
    <n v="17662.536000000004"/>
    <n v="331.43999999999869"/>
    <n v="321.4967999999987"/>
  </r>
  <r>
    <n v="1061"/>
    <d v="2023-10-16T00:00:00"/>
    <x v="3"/>
    <s v="East"/>
    <n v="2227.64"/>
    <n v="37"/>
    <s v="Furniture"/>
    <n v="4651.7700000000004"/>
    <n v="4984.3900000000003"/>
    <s v="Returning"/>
    <n v="0.12"/>
    <s v="Cash"/>
    <s v="Retail"/>
    <s v="East-Eve"/>
    <x v="7"/>
    <s v="Monday"/>
    <n v="151461.63120000003"/>
    <n v="12306.939999999995"/>
    <n v="10830.107199999995"/>
  </r>
  <r>
    <n v="1039"/>
    <d v="2023-09-19T00:00:00"/>
    <x v="0"/>
    <s v="South"/>
    <n v="4306.0200000000004"/>
    <n v="28"/>
    <s v="Clothing"/>
    <n v="666.84"/>
    <n v="817.36"/>
    <s v="Returning"/>
    <n v="0.02"/>
    <s v="Cash"/>
    <s v="Retail"/>
    <s v="South-Bob"/>
    <x v="2"/>
    <s v="Tuesday"/>
    <n v="18298.089599999999"/>
    <n v="4214.5599999999995"/>
    <n v="4130.2687999999998"/>
  </r>
  <r>
    <n v="1001"/>
    <d v="2023-08-04T00:00:00"/>
    <x v="1"/>
    <s v="West"/>
    <n v="9087.6"/>
    <n v="20"/>
    <s v="Food"/>
    <n v="3279.76"/>
    <n v="3563.97"/>
    <s v="Returning"/>
    <n v="0.25"/>
    <s v="Cash"/>
    <s v="Retail"/>
    <s v="West-David"/>
    <x v="3"/>
    <s v="Friday"/>
    <n v="49196.400000000009"/>
    <n v="5684.1999999999916"/>
    <n v="4263.1499999999942"/>
  </r>
  <r>
    <n v="1003"/>
    <d v="2023-05-27T00:00:00"/>
    <x v="3"/>
    <s v="East"/>
    <n v="5119.8900000000003"/>
    <n v="39"/>
    <s v="Clothing"/>
    <n v="310.95999999999998"/>
    <n v="457.84"/>
    <s v="New"/>
    <n v="0.03"/>
    <s v="Credit Card"/>
    <s v="Online"/>
    <s v="East-Eve"/>
    <x v="10"/>
    <s v="Saturday"/>
    <n v="11763.616799999998"/>
    <n v="5728.32"/>
    <n v="5556.4703999999992"/>
  </r>
  <r>
    <n v="1077"/>
    <d v="2023-12-02T00:00:00"/>
    <x v="1"/>
    <s v="East"/>
    <n v="1960.41"/>
    <n v="24"/>
    <s v="Electronics"/>
    <n v="2258.54"/>
    <n v="2439.4899999999998"/>
    <s v="Returning"/>
    <n v="0.2"/>
    <s v="Credit Card"/>
    <s v="Retail"/>
    <s v="East-David"/>
    <x v="9"/>
    <s v="Saturday"/>
    <n v="43363.968000000001"/>
    <n v="4342.7999999999956"/>
    <n v="3474.2399999999966"/>
  </r>
  <r>
    <n v="1092"/>
    <d v="2023-06-17T00:00:00"/>
    <x v="1"/>
    <s v="East"/>
    <n v="862.02"/>
    <n v="21"/>
    <s v="Clothing"/>
    <n v="2792.2"/>
    <n v="3254.5499999999902"/>
    <s v="New"/>
    <n v="0.02"/>
    <s v="Credit Card"/>
    <s v="Retail"/>
    <s v="East-David"/>
    <x v="6"/>
    <s v="Saturday"/>
    <n v="57463.475999999995"/>
    <n v="9709.3499999997985"/>
    <n v="9515.1629999998022"/>
  </r>
  <r>
    <n v="1062"/>
    <d v="2023-04-02T00:00:00"/>
    <x v="0"/>
    <s v="East"/>
    <n v="6991.95"/>
    <n v="10"/>
    <s v="Clothing"/>
    <n v="1524.88"/>
    <n v="1636.14"/>
    <s v="New"/>
    <n v="0.2"/>
    <s v="Bank Transfer"/>
    <s v="Online"/>
    <s v="East-Bob"/>
    <x v="1"/>
    <s v="Sunday"/>
    <n v="12199.04"/>
    <n v="1112.5999999999999"/>
    <n v="890.07999999999993"/>
  </r>
  <r>
    <n v="1063"/>
    <d v="2023-12-19T00:00:00"/>
    <x v="2"/>
    <s v="West"/>
    <n v="3889.71"/>
    <n v="46"/>
    <s v="Furniture"/>
    <n v="2302.62"/>
    <n v="2740.93"/>
    <s v="Returning"/>
    <n v="0.25"/>
    <s v="Bank Transfer"/>
    <s v="Online"/>
    <s v="West-Charlie"/>
    <x v="9"/>
    <s v="Tuesday"/>
    <n v="79440.389999999985"/>
    <n v="20162.259999999998"/>
    <n v="15121.695"/>
  </r>
  <r>
    <n v="1025"/>
    <d v="2023-02-28T00:00:00"/>
    <x v="0"/>
    <s v="East"/>
    <n v="8236.1299999999992"/>
    <n v="14"/>
    <s v="Electronics"/>
    <n v="859.59"/>
    <n v="884.51"/>
    <s v="New"/>
    <n v="0.12"/>
    <s v="Bank Transfer"/>
    <s v="Online"/>
    <s v="East-Bob"/>
    <x v="0"/>
    <s v="Tuesday"/>
    <n v="10590.148800000001"/>
    <n v="348.87999999999943"/>
    <n v="307.01439999999951"/>
  </r>
  <r>
    <n v="1056"/>
    <d v="2023-02-28T00:00:00"/>
    <x v="3"/>
    <s v="North"/>
    <n v="6629.16"/>
    <n v="37"/>
    <s v="Electronics"/>
    <n v="1555.41"/>
    <n v="1609.94"/>
    <s v="Returning"/>
    <n v="0.16"/>
    <s v="Credit Card"/>
    <s v="Online"/>
    <s v="North-Eve"/>
    <x v="0"/>
    <s v="Tuesday"/>
    <n v="48342.142800000001"/>
    <n v="2017.609999999999"/>
    <n v="1694.7923999999991"/>
  </r>
  <r>
    <n v="1033"/>
    <d v="2023-10-31T00:00:00"/>
    <x v="3"/>
    <s v="East"/>
    <n v="7982.79"/>
    <n v="18"/>
    <s v="Furniture"/>
    <n v="3124.48"/>
    <n v="3553.27"/>
    <s v="Returning"/>
    <n v="0.12"/>
    <s v="Cash"/>
    <s v="Retail"/>
    <s v="East-Eve"/>
    <x v="7"/>
    <s v="Tuesday"/>
    <n v="49491.763200000001"/>
    <n v="7718.2199999999993"/>
    <n v="6792.0335999999998"/>
  </r>
  <r>
    <n v="1038"/>
    <d v="2023-06-18T00:00:00"/>
    <x v="3"/>
    <s v="West"/>
    <n v="2792.27"/>
    <n v="24"/>
    <s v="Clothing"/>
    <n v="1543.91"/>
    <n v="1862.88"/>
    <s v="New"/>
    <n v="0.09"/>
    <s v="Bank Transfer"/>
    <s v="Online"/>
    <s v="West-Eve"/>
    <x v="6"/>
    <s v="Sunday"/>
    <n v="33718.994400000003"/>
    <n v="7655.2800000000007"/>
    <n v="6966.3048000000008"/>
  </r>
  <r>
    <n v="1006"/>
    <d v="2023-09-26T00:00:00"/>
    <x v="0"/>
    <s v="East"/>
    <n v="6954.35"/>
    <n v="14"/>
    <s v="Food"/>
    <n v="4503.7299999999996"/>
    <n v="4879.8799999999901"/>
    <s v="New"/>
    <n v="0.24"/>
    <s v="Bank Transfer"/>
    <s v="Retail"/>
    <s v="East-Bob"/>
    <x v="2"/>
    <s v="Tuesday"/>
    <n v="47919.687199999993"/>
    <n v="5266.0999999998676"/>
    <n v="4002.2359999998994"/>
  </r>
  <r>
    <n v="1058"/>
    <d v="2023-12-29T00:00:00"/>
    <x v="1"/>
    <s v="North"/>
    <n v="2714.21"/>
    <n v="34"/>
    <s v="Electronics"/>
    <n v="3160.61"/>
    <n v="3273.22"/>
    <s v="Returning"/>
    <n v="0.08"/>
    <s v="Credit Card"/>
    <s v="Retail"/>
    <s v="North-David"/>
    <x v="9"/>
    <s v="Friday"/>
    <n v="98863.880800000014"/>
    <n v="3828.7399999999889"/>
    <n v="3522.4407999999898"/>
  </r>
  <r>
    <n v="1044"/>
    <d v="2023-02-14T00:00:00"/>
    <x v="1"/>
    <s v="West"/>
    <n v="9396.7800000000007"/>
    <n v="12"/>
    <s v="Electronics"/>
    <n v="2221.31"/>
    <n v="2494.48"/>
    <s v="Returning"/>
    <n v="0.22"/>
    <s v="Bank Transfer"/>
    <s v="Online"/>
    <s v="West-David"/>
    <x v="0"/>
    <s v="Tuesday"/>
    <n v="20791.461600000002"/>
    <n v="3278.0400000000009"/>
    <n v="2556.871200000001"/>
  </r>
  <r>
    <n v="1045"/>
    <d v="2023-12-11T00:00:00"/>
    <x v="4"/>
    <s v="West"/>
    <n v="6400.11"/>
    <n v="22"/>
    <s v="Clothing"/>
    <n v="241.85"/>
    <n v="613.09"/>
    <s v="Returning"/>
    <n v="0.06"/>
    <s v="Cash"/>
    <s v="Online"/>
    <s v="West-Alice"/>
    <x v="9"/>
    <s v="Monday"/>
    <n v="5001.4579999999996"/>
    <n v="8167.2800000000007"/>
    <n v="7677.2431999999999"/>
  </r>
  <r>
    <n v="1032"/>
    <d v="2023-06-30T00:00:00"/>
    <x v="3"/>
    <s v="North"/>
    <n v="3312.67"/>
    <n v="6"/>
    <s v="Clothing"/>
    <n v="2522.7600000000002"/>
    <n v="2840.14"/>
    <s v="Returning"/>
    <n v="7.0000000000000007E-2"/>
    <s v="Credit Card"/>
    <s v="Retail"/>
    <s v="North-Eve"/>
    <x v="6"/>
    <s v="Friday"/>
    <n v="14077.0008"/>
    <n v="1904.2799999999979"/>
    <n v="1770.9803999999979"/>
  </r>
  <r>
    <n v="1045"/>
    <d v="2023-06-19T00:00:00"/>
    <x v="1"/>
    <s v="North"/>
    <n v="2768.17"/>
    <n v="36"/>
    <s v="Electronics"/>
    <n v="3835.64"/>
    <n v="4076.77"/>
    <s v="Returning"/>
    <n v="0.1"/>
    <s v="Credit Card"/>
    <s v="Retail"/>
    <s v="North-David"/>
    <x v="6"/>
    <s v="Monday"/>
    <n v="124274.736"/>
    <n v="8680.6800000000039"/>
    <n v="7812.6120000000037"/>
  </r>
  <r>
    <n v="1061"/>
    <d v="2023-12-22T00:00:00"/>
    <x v="4"/>
    <s v="North"/>
    <n v="1990.17"/>
    <n v="45"/>
    <s v="Clothing"/>
    <n v="1364.51"/>
    <n v="1844.8"/>
    <s v="Returning"/>
    <n v="0.18"/>
    <s v="Cash"/>
    <s v="Online"/>
    <s v="North-Alice"/>
    <x v="9"/>
    <s v="Friday"/>
    <n v="50350.419000000002"/>
    <n v="21613.05"/>
    <n v="17722.701000000001"/>
  </r>
  <r>
    <n v="1047"/>
    <d v="2023-07-10T00:00:00"/>
    <x v="1"/>
    <s v="North"/>
    <n v="6976.95"/>
    <n v="36"/>
    <s v="Food"/>
    <n v="4043.53"/>
    <n v="4384.8500000000004"/>
    <s v="New"/>
    <n v="0.14000000000000001"/>
    <s v="Cash"/>
    <s v="Online"/>
    <s v="North-David"/>
    <x v="11"/>
    <s v="Monday"/>
    <n v="125187.68880000002"/>
    <n v="12287.520000000006"/>
    <n v="10567.267200000006"/>
  </r>
  <r>
    <n v="1021"/>
    <d v="2023-06-04T00:00:00"/>
    <x v="3"/>
    <s v="North"/>
    <n v="2265.2800000000002"/>
    <n v="22"/>
    <s v="Electronics"/>
    <n v="1296.44"/>
    <n v="1751.24"/>
    <s v="New"/>
    <n v="0.22"/>
    <s v="Cash"/>
    <s v="Online"/>
    <s v="North-Eve"/>
    <x v="6"/>
    <s v="Sunday"/>
    <n v="22246.910400000001"/>
    <n v="10005.599999999999"/>
    <n v="7804.3679999999995"/>
  </r>
  <r>
    <n v="1080"/>
    <d v="2023-07-07T00:00:00"/>
    <x v="2"/>
    <s v="West"/>
    <n v="5993.5"/>
    <n v="14"/>
    <s v="Food"/>
    <n v="4127.54"/>
    <n v="4495.13"/>
    <s v="New"/>
    <n v="0.06"/>
    <s v="Bank Transfer"/>
    <s v="Retail"/>
    <s v="West-Charlie"/>
    <x v="11"/>
    <s v="Friday"/>
    <n v="54318.426399999997"/>
    <n v="5146.260000000002"/>
    <n v="4837.4844000000012"/>
  </r>
  <r>
    <n v="1085"/>
    <d v="2023-01-07T00:00:00"/>
    <x v="3"/>
    <s v="West"/>
    <n v="2719.89"/>
    <n v="16"/>
    <s v="Food"/>
    <n v="472.08"/>
    <n v="842.46"/>
    <s v="New"/>
    <n v="0"/>
    <s v="Cash"/>
    <s v="Retail"/>
    <s v="West-Eve"/>
    <x v="5"/>
    <s v="Saturday"/>
    <n v="7553.28"/>
    <n v="5926.0800000000008"/>
    <n v="5926.0800000000008"/>
  </r>
  <r>
    <n v="1075"/>
    <d v="2023-05-13T00:00:00"/>
    <x v="0"/>
    <s v="East"/>
    <n v="6653.49"/>
    <n v="36"/>
    <s v="Clothing"/>
    <n v="4337.6099999999997"/>
    <n v="4386.82"/>
    <s v="Returning"/>
    <n v="0.23"/>
    <s v="Credit Card"/>
    <s v="Online"/>
    <s v="East-Bob"/>
    <x v="10"/>
    <s v="Saturday"/>
    <n v="120238.54919999999"/>
    <n v="1771.5600000000013"/>
    <n v="1364.101200000001"/>
  </r>
  <r>
    <n v="1036"/>
    <d v="2023-08-23T00:00:00"/>
    <x v="1"/>
    <s v="East"/>
    <n v="8167.9"/>
    <n v="25"/>
    <s v="Food"/>
    <n v="2520.9699999999998"/>
    <n v="2707.1099999999901"/>
    <s v="New"/>
    <n v="0.25"/>
    <s v="Cash"/>
    <s v="Retail"/>
    <s v="East-David"/>
    <x v="3"/>
    <s v="Wednesday"/>
    <n v="47268.187499999993"/>
    <n v="4653.4999999997581"/>
    <n v="3490.1249999998186"/>
  </r>
  <r>
    <n v="1099"/>
    <d v="2023-02-14T00:00:00"/>
    <x v="1"/>
    <s v="South"/>
    <n v="7802.45"/>
    <n v="32"/>
    <s v="Clothing"/>
    <n v="1517.86"/>
    <n v="1948.46"/>
    <s v="New"/>
    <n v="0.02"/>
    <s v="Credit Card"/>
    <s v="Online"/>
    <s v="South-David"/>
    <x v="0"/>
    <s v="Tuesday"/>
    <n v="47600.089599999999"/>
    <n v="13779.200000000004"/>
    <n v="13503.616000000004"/>
  </r>
  <r>
    <n v="1019"/>
    <d v="2023-11-10T00:00:00"/>
    <x v="0"/>
    <s v="East"/>
    <n v="7632.43"/>
    <n v="33"/>
    <s v="Furniture"/>
    <n v="1362.31"/>
    <n v="1486.29"/>
    <s v="Returning"/>
    <n v="0.18"/>
    <s v="Credit Card"/>
    <s v="Retail"/>
    <s v="East-Bob"/>
    <x v="8"/>
    <s v="Friday"/>
    <n v="36864.1086"/>
    <n v="4091.3400000000006"/>
    <n v="3354.8988000000008"/>
  </r>
  <r>
    <n v="1020"/>
    <d v="2023-09-06T00:00:00"/>
    <x v="0"/>
    <s v="East"/>
    <n v="1958.45"/>
    <n v="45"/>
    <s v="Clothing"/>
    <n v="2188.4499999999998"/>
    <n v="2255.0499999999902"/>
    <s v="New"/>
    <n v="0.11"/>
    <s v="Bank Transfer"/>
    <s v="Retail"/>
    <s v="East-Bob"/>
    <x v="2"/>
    <s v="Wednesday"/>
    <n v="87647.422499999986"/>
    <n v="2996.9999999995662"/>
    <n v="2667.3299999996138"/>
  </r>
  <r>
    <n v="1057"/>
    <d v="2023-01-31T00:00:00"/>
    <x v="2"/>
    <s v="North"/>
    <n v="975.01"/>
    <n v="36"/>
    <s v="Food"/>
    <n v="4995.3"/>
    <n v="5165.09"/>
    <s v="Returning"/>
    <n v="0.24"/>
    <s v="Cash"/>
    <s v="Online"/>
    <s v="North-Charlie"/>
    <x v="5"/>
    <s v="Tuesday"/>
    <n v="136671.40800000002"/>
    <n v="6112.4399999999987"/>
    <n v="4645.4543999999987"/>
  </r>
  <r>
    <n v="1018"/>
    <d v="2023-01-23T00:00:00"/>
    <x v="1"/>
    <s v="North"/>
    <n v="7019.59"/>
    <n v="20"/>
    <s v="Furniture"/>
    <n v="1140.6199999999999"/>
    <n v="1258.6299999999901"/>
    <s v="Returning"/>
    <n v="0.26"/>
    <s v="Bank Transfer"/>
    <s v="Online"/>
    <s v="North-David"/>
    <x v="5"/>
    <s v="Monday"/>
    <n v="16881.175999999999"/>
    <n v="2360.1999999998043"/>
    <n v="1746.5479999998552"/>
  </r>
  <r>
    <n v="1047"/>
    <d v="2023-06-09T00:00:00"/>
    <x v="1"/>
    <s v="East"/>
    <n v="3746.64"/>
    <n v="18"/>
    <s v="Clothing"/>
    <n v="560.91999999999996"/>
    <n v="1024.31"/>
    <s v="Returning"/>
    <n v="0.26"/>
    <s v="Cash"/>
    <s v="Online"/>
    <s v="East-David"/>
    <x v="6"/>
    <s v="Friday"/>
    <n v="7471.4543999999996"/>
    <n v="8341.02"/>
    <n v="6172.3548000000001"/>
  </r>
  <r>
    <n v="1049"/>
    <d v="2023-12-29T00:00:00"/>
    <x v="2"/>
    <s v="South"/>
    <n v="4380.2299999999996"/>
    <n v="38"/>
    <s v="Food"/>
    <n v="2945.92"/>
    <n v="3381.22"/>
    <s v="Returning"/>
    <n v="0.23"/>
    <s v="Cash"/>
    <s v="Retail"/>
    <s v="South-Charlie"/>
    <x v="9"/>
    <s v="Friday"/>
    <n v="86197.619200000001"/>
    <n v="16541.399999999991"/>
    <n v="12736.877999999993"/>
  </r>
  <r>
    <n v="1014"/>
    <d v="2023-06-07T00:00:00"/>
    <x v="4"/>
    <s v="North"/>
    <n v="408.38"/>
    <n v="3"/>
    <s v="Electronics"/>
    <n v="2468.29"/>
    <n v="2723.13"/>
    <s v="Returning"/>
    <n v="0.08"/>
    <s v="Cash"/>
    <s v="Retail"/>
    <s v="North-Alice"/>
    <x v="6"/>
    <s v="Wednesday"/>
    <n v="6812.4804000000004"/>
    <n v="764.52000000000044"/>
    <n v="703.35840000000042"/>
  </r>
  <r>
    <n v="1015"/>
    <d v="2023-02-08T00:00:00"/>
    <x v="2"/>
    <s v="East"/>
    <n v="2669.81"/>
    <n v="23"/>
    <s v="Electronics"/>
    <n v="2644.77"/>
    <n v="2684.83"/>
    <s v="New"/>
    <n v="0.24"/>
    <s v="Cash"/>
    <s v="Online"/>
    <s v="East-Charlie"/>
    <x v="0"/>
    <s v="Wednesday"/>
    <n v="46230.579599999997"/>
    <n v="921.37999999999874"/>
    <n v="700.24879999999905"/>
  </r>
  <r>
    <n v="1031"/>
    <d v="2023-03-23T00:00:00"/>
    <x v="3"/>
    <s v="East"/>
    <n v="433.4"/>
    <n v="32"/>
    <s v="Clothing"/>
    <n v="3351.33"/>
    <n v="3711.47"/>
    <s v="New"/>
    <n v="0.16"/>
    <s v="Cash"/>
    <s v="Retail"/>
    <s v="East-Eve"/>
    <x v="4"/>
    <s v="Thursday"/>
    <n v="90083.75039999999"/>
    <n v="11524.479999999996"/>
    <n v="9680.5631999999969"/>
  </r>
  <r>
    <n v="1001"/>
    <d v="2023-12-22T00:00:00"/>
    <x v="1"/>
    <s v="West"/>
    <n v="8803.94"/>
    <n v="45"/>
    <s v="Clothing"/>
    <n v="1372.36"/>
    <n v="1687.83"/>
    <s v="New"/>
    <n v="0.02"/>
    <s v="Credit Card"/>
    <s v="Online"/>
    <s v="West-David"/>
    <x v="9"/>
    <s v="Friday"/>
    <n v="60521.075999999994"/>
    <n v="14196.150000000001"/>
    <n v="13912.227000000001"/>
  </r>
  <r>
    <n v="1054"/>
    <d v="2023-09-15T00:00:00"/>
    <x v="0"/>
    <s v="South"/>
    <n v="2509.63"/>
    <n v="16"/>
    <s v="Electronics"/>
    <n v="4557.79"/>
    <n v="5043.3599999999997"/>
    <s v="Returning"/>
    <n v="0.14000000000000001"/>
    <s v="Credit Card"/>
    <s v="Retail"/>
    <s v="South-Bob"/>
    <x v="2"/>
    <s v="Friday"/>
    <n v="62715.190399999999"/>
    <n v="7769.1199999999953"/>
    <n v="6681.4431999999961"/>
  </r>
  <r>
    <n v="1003"/>
    <d v="2023-07-25T00:00:00"/>
    <x v="3"/>
    <s v="West"/>
    <n v="5617.64"/>
    <n v="5"/>
    <s v="Food"/>
    <n v="2206.58"/>
    <n v="2490.4699999999998"/>
    <s v="New"/>
    <n v="0.28000000000000003"/>
    <s v="Cash"/>
    <s v="Online"/>
    <s v="West-Eve"/>
    <x v="11"/>
    <s v="Tuesday"/>
    <n v="7943.6879999999992"/>
    <n v="1419.4499999999994"/>
    <n v="1022.0039999999995"/>
  </r>
  <r>
    <n v="1016"/>
    <d v="2023-03-18T00:00:00"/>
    <x v="1"/>
    <s v="South"/>
    <n v="485.9"/>
    <n v="4"/>
    <s v="Food"/>
    <n v="688.98"/>
    <n v="863.81"/>
    <s v="New"/>
    <n v="0.27"/>
    <s v="Credit Card"/>
    <s v="Retail"/>
    <s v="South-David"/>
    <x v="4"/>
    <s v="Saturday"/>
    <n v="2011.8216"/>
    <n v="699.31999999999971"/>
    <n v="510.50359999999978"/>
  </r>
  <r>
    <n v="1087"/>
    <d v="2023-01-12T00:00:00"/>
    <x v="2"/>
    <s v="North"/>
    <n v="6701.79"/>
    <n v="21"/>
    <s v="Food"/>
    <n v="3724.38"/>
    <n v="3988.7"/>
    <s v="New"/>
    <n v="0.03"/>
    <s v="Bank Transfer"/>
    <s v="Retail"/>
    <s v="North-Charlie"/>
    <x v="5"/>
    <s v="Thursday"/>
    <n v="75865.620599999995"/>
    <n v="5550.7199999999939"/>
    <n v="5384.1983999999939"/>
  </r>
  <r>
    <n v="1057"/>
    <d v="2023-10-22T00:00:00"/>
    <x v="3"/>
    <s v="South"/>
    <n v="3297.97"/>
    <n v="40"/>
    <s v="Clothing"/>
    <n v="3233.37"/>
    <n v="3723.21"/>
    <s v="New"/>
    <n v="0.22"/>
    <s v="Bank Transfer"/>
    <s v="Retail"/>
    <s v="South-Eve"/>
    <x v="7"/>
    <s v="Sunday"/>
    <n v="100881.144"/>
    <n v="19593.600000000006"/>
    <n v="15283.008000000005"/>
  </r>
  <r>
    <n v="1075"/>
    <d v="2023-08-12T00:00:00"/>
    <x v="1"/>
    <s v="East"/>
    <n v="8989.4"/>
    <n v="14"/>
    <s v="Furniture"/>
    <n v="1612.93"/>
    <n v="1964.15"/>
    <s v="Returning"/>
    <n v="0.24"/>
    <s v="Bank Transfer"/>
    <s v="Retail"/>
    <s v="East-David"/>
    <x v="3"/>
    <s v="Saturday"/>
    <n v="17161.575199999999"/>
    <n v="4917.08"/>
    <n v="3736.9807999999998"/>
  </r>
  <r>
    <n v="1012"/>
    <d v="2023-01-13T00:00:00"/>
    <x v="4"/>
    <s v="East"/>
    <n v="8892.3700000000008"/>
    <n v="39"/>
    <s v="Furniture"/>
    <n v="3126.52"/>
    <n v="3465.79"/>
    <s v="New"/>
    <n v="0.08"/>
    <s v="Cash"/>
    <s v="Online"/>
    <s v="East-Alice"/>
    <x v="5"/>
    <s v="Friday"/>
    <n v="112179.53760000001"/>
    <n v="13231.529999999999"/>
    <n v="12173.007599999999"/>
  </r>
  <r>
    <n v="1074"/>
    <d v="2023-02-15T00:00:00"/>
    <x v="4"/>
    <s v="South"/>
    <n v="3320.38"/>
    <n v="31"/>
    <s v="Furniture"/>
    <n v="1138.32"/>
    <n v="1266.25"/>
    <s v="Returning"/>
    <n v="0.14000000000000001"/>
    <s v="Cash"/>
    <s v="Retail"/>
    <s v="South-Alice"/>
    <x v="0"/>
    <s v="Wednesday"/>
    <n v="30347.611199999999"/>
    <n v="3965.8300000000017"/>
    <n v="3410.6138000000014"/>
  </r>
  <r>
    <n v="1096"/>
    <d v="2023-06-04T00:00:00"/>
    <x v="0"/>
    <s v="South"/>
    <n v="9019.51"/>
    <n v="14"/>
    <s v="Furniture"/>
    <n v="2251.9499999999998"/>
    <n v="2626.3199999999902"/>
    <s v="Returning"/>
    <n v="0.21"/>
    <s v="Credit Card"/>
    <s v="Online"/>
    <s v="South-Bob"/>
    <x v="6"/>
    <s v="Sunday"/>
    <n v="24906.566999999999"/>
    <n v="5241.1799999998648"/>
    <n v="4140.5321999998932"/>
  </r>
  <r>
    <n v="1016"/>
    <d v="2023-04-23T00:00:00"/>
    <x v="1"/>
    <s v="South"/>
    <n v="9961.9599999999991"/>
    <n v="6"/>
    <s v="Furniture"/>
    <n v="4502.09"/>
    <n v="4879.72"/>
    <s v="New"/>
    <n v="0.13"/>
    <s v="Credit Card"/>
    <s v="Online"/>
    <s v="South-David"/>
    <x v="1"/>
    <s v="Sunday"/>
    <n v="23500.909800000001"/>
    <n v="2265.7800000000007"/>
    <n v="1971.2286000000006"/>
  </r>
  <r>
    <n v="1072"/>
    <d v="2023-08-21T00:00:00"/>
    <x v="4"/>
    <s v="West"/>
    <n v="8271.6200000000008"/>
    <n v="12"/>
    <s v="Clothing"/>
    <n v="710.99"/>
    <n v="876.46"/>
    <s v="Returning"/>
    <n v="0.03"/>
    <s v="Credit Card"/>
    <s v="Online"/>
    <s v="West-Alice"/>
    <x v="3"/>
    <s v="Monday"/>
    <n v="8275.9236000000001"/>
    <n v="1985.6400000000003"/>
    <n v="1926.0708000000002"/>
  </r>
  <r>
    <n v="1076"/>
    <d v="2023-01-17T00:00:00"/>
    <x v="2"/>
    <s v="South"/>
    <n v="8464.23"/>
    <n v="16"/>
    <s v="Clothing"/>
    <n v="1964.15"/>
    <n v="2211.17"/>
    <s v="Returning"/>
    <n v="0.21"/>
    <s v="Bank Transfer"/>
    <s v="Online"/>
    <s v="South-Charlie"/>
    <x v="5"/>
    <s v="Tuesday"/>
    <n v="24826.856000000003"/>
    <n v="3952.3199999999997"/>
    <n v="3122.3328000000001"/>
  </r>
  <r>
    <n v="1024"/>
    <d v="2023-12-26T00:00:00"/>
    <x v="1"/>
    <s v="North"/>
    <n v="2565.19"/>
    <n v="17"/>
    <s v="Furniture"/>
    <n v="4114.66"/>
    <n v="4269.0199999999904"/>
    <s v="Returning"/>
    <n v="0.27"/>
    <s v="Bank Transfer"/>
    <s v="Retail"/>
    <s v="North-David"/>
    <x v="9"/>
    <s v="Tuesday"/>
    <n v="51062.9306"/>
    <n v="2624.1199999998398"/>
    <n v="1915.607599999883"/>
  </r>
  <r>
    <n v="1028"/>
    <d v="2023-08-11T00:00:00"/>
    <x v="2"/>
    <s v="West"/>
    <n v="5809.35"/>
    <n v="45"/>
    <s v="Clothing"/>
    <n v="4848.9799999999996"/>
    <n v="4985.75"/>
    <s v="Returning"/>
    <n v="0.2"/>
    <s v="Bank Transfer"/>
    <s v="Online"/>
    <s v="West-Charlie"/>
    <x v="3"/>
    <s v="Friday"/>
    <n v="174563.28"/>
    <n v="6154.6500000000196"/>
    <n v="4923.7200000000157"/>
  </r>
  <r>
    <n v="1008"/>
    <d v="2023-12-20T00:00:00"/>
    <x v="2"/>
    <s v="West"/>
    <n v="765.83"/>
    <n v="23"/>
    <s v="Clothing"/>
    <n v="2296.9299999999998"/>
    <n v="2319.62"/>
    <s v="Returning"/>
    <n v="0.23"/>
    <s v="Bank Transfer"/>
    <s v="Retail"/>
    <s v="West-Charlie"/>
    <x v="9"/>
    <s v="Wednesday"/>
    <n v="40678.630299999997"/>
    <n v="521.87000000000126"/>
    <n v="401.83990000000097"/>
  </r>
  <r>
    <n v="1092"/>
    <d v="2023-07-07T00:00:00"/>
    <x v="4"/>
    <s v="South"/>
    <n v="1039.69"/>
    <n v="14"/>
    <s v="Furniture"/>
    <n v="2559.65"/>
    <n v="2709.4"/>
    <s v="Returning"/>
    <n v="0.11"/>
    <s v="Credit Card"/>
    <s v="Retail"/>
    <s v="South-Alice"/>
    <x v="11"/>
    <s v="Friday"/>
    <n v="31893.238999999998"/>
    <n v="2096.5"/>
    <n v="1865.885"/>
  </r>
  <r>
    <n v="1036"/>
    <d v="2023-12-10T00:00:00"/>
    <x v="1"/>
    <s v="North"/>
    <n v="9989.0400000000009"/>
    <n v="7"/>
    <s v="Food"/>
    <n v="2882.25"/>
    <n v="3163.7"/>
    <s v="Returning"/>
    <n v="0.05"/>
    <s v="Cash"/>
    <s v="Retail"/>
    <s v="North-David"/>
    <x v="9"/>
    <s v="Sunday"/>
    <n v="19166.962499999998"/>
    <n v="1970.1499999999987"/>
    <n v="1871.6424999999988"/>
  </r>
  <r>
    <n v="1090"/>
    <d v="2023-12-31T00:00:00"/>
    <x v="3"/>
    <s v="West"/>
    <n v="3333.73"/>
    <n v="46"/>
    <s v="Clothing"/>
    <n v="4665.12"/>
    <n v="4675.8999999999996"/>
    <s v="New"/>
    <n v="0.19"/>
    <s v="Cash"/>
    <s v="Retail"/>
    <s v="West-Eve"/>
    <x v="9"/>
    <s v="Sunday"/>
    <n v="173822.37119999999"/>
    <n v="495.87999999998829"/>
    <n v="401.66279999999051"/>
  </r>
  <r>
    <n v="1008"/>
    <d v="2023-06-12T00:00:00"/>
    <x v="4"/>
    <s v="East"/>
    <n v="7507.02"/>
    <n v="32"/>
    <s v="Food"/>
    <n v="4298.12"/>
    <n v="4446.8999999999996"/>
    <s v="New"/>
    <n v="0.1"/>
    <s v="Bank Transfer"/>
    <s v="Online"/>
    <s v="East-Alice"/>
    <x v="6"/>
    <s v="Monday"/>
    <n v="123785.856"/>
    <n v="4760.9599999999919"/>
    <n v="4284.8639999999932"/>
  </r>
  <r>
    <n v="1058"/>
    <d v="2023-11-22T00:00:00"/>
    <x v="4"/>
    <s v="West"/>
    <n v="8085.98"/>
    <n v="15"/>
    <s v="Clothing"/>
    <n v="894.48"/>
    <n v="1336.37"/>
    <s v="Returning"/>
    <n v="0.26"/>
    <s v="Cash"/>
    <s v="Retail"/>
    <s v="West-Alice"/>
    <x v="8"/>
    <s v="Wednesday"/>
    <n v="9928.728000000001"/>
    <n v="6628.3499999999985"/>
    <n v="4904.9789999999985"/>
  </r>
  <r>
    <n v="1060"/>
    <d v="2023-03-15T00:00:00"/>
    <x v="1"/>
    <s v="South"/>
    <n v="8594.43"/>
    <n v="44"/>
    <s v="Clothing"/>
    <n v="2211.9499999999998"/>
    <n v="2512.8399999999901"/>
    <s v="Returning"/>
    <n v="0.04"/>
    <s v="Cash"/>
    <s v="Online"/>
    <s v="South-David"/>
    <x v="4"/>
    <s v="Wednesday"/>
    <n v="93432.767999999982"/>
    <n v="13239.159999999574"/>
    <n v="12709.593599999591"/>
  </r>
  <r>
    <n v="1050"/>
    <d v="2023-08-21T00:00:00"/>
    <x v="1"/>
    <s v="North"/>
    <n v="9976.52"/>
    <n v="17"/>
    <s v="Furniture"/>
    <n v="2346.8000000000002"/>
    <n v="2654.65"/>
    <s v="New"/>
    <n v="0.13"/>
    <s v="Cash"/>
    <s v="Retail"/>
    <s v="North-David"/>
    <x v="3"/>
    <s v="Monday"/>
    <n v="34709.172000000006"/>
    <n v="5233.4499999999989"/>
    <n v="4553.1014999999989"/>
  </r>
  <r>
    <n v="1028"/>
    <d v="2023-08-12T00:00:00"/>
    <x v="2"/>
    <s v="South"/>
    <n v="2490.8200000000002"/>
    <n v="41"/>
    <s v="Clothing"/>
    <n v="3956.03"/>
    <n v="4163.68"/>
    <s v="New"/>
    <n v="0.12"/>
    <s v="Bank Transfer"/>
    <s v="Retail"/>
    <s v="South-Charlie"/>
    <x v="3"/>
    <s v="Saturday"/>
    <n v="142733.56240000002"/>
    <n v="8513.6500000000033"/>
    <n v="7492.0120000000034"/>
  </r>
  <r>
    <n v="1092"/>
    <d v="2023-11-15T00:00:00"/>
    <x v="1"/>
    <s v="East"/>
    <n v="499.47"/>
    <n v="47"/>
    <s v="Electronics"/>
    <n v="3034.32"/>
    <n v="3375.79"/>
    <s v="New"/>
    <n v="0.28000000000000003"/>
    <s v="Credit Card"/>
    <s v="Online"/>
    <s v="East-David"/>
    <x v="8"/>
    <s v="Wednesday"/>
    <n v="102681.3888"/>
    <n v="16049.089999999991"/>
    <n v="11555.344799999993"/>
  </r>
  <r>
    <n v="1041"/>
    <d v="2023-03-01T00:00:00"/>
    <x v="2"/>
    <s v="East"/>
    <n v="4170.8"/>
    <n v="44"/>
    <s v="Electronics"/>
    <n v="3288.39"/>
    <n v="3391.46"/>
    <s v="New"/>
    <n v="0.05"/>
    <s v="Credit Card"/>
    <s v="Retail"/>
    <s v="East-Charlie"/>
    <x v="4"/>
    <s v="Wednesday"/>
    <n v="137454.70199999999"/>
    <n v="4535.0800000000072"/>
    <n v="4308.3260000000064"/>
  </r>
  <r>
    <n v="1100"/>
    <d v="2023-12-01T00:00:00"/>
    <x v="4"/>
    <s v="East"/>
    <n v="1387.8"/>
    <n v="34"/>
    <s v="Furniture"/>
    <n v="4991.09"/>
    <n v="5402.28"/>
    <s v="Returning"/>
    <n v="0"/>
    <s v="Cash"/>
    <s v="Retail"/>
    <s v="East-Alice"/>
    <x v="9"/>
    <s v="Friday"/>
    <n v="169697.06"/>
    <n v="13980.459999999986"/>
    <n v="13980.459999999986"/>
  </r>
  <r>
    <n v="1064"/>
    <d v="2023-08-10T00:00:00"/>
    <x v="0"/>
    <s v="South"/>
    <n v="322.02"/>
    <n v="5"/>
    <s v="Food"/>
    <n v="421.05"/>
    <n v="488.23"/>
    <s v="Returning"/>
    <n v="7.0000000000000007E-2"/>
    <s v="Credit Card"/>
    <s v="Retail"/>
    <s v="South-Bob"/>
    <x v="3"/>
    <s v="Thursday"/>
    <n v="1957.8824999999999"/>
    <n v="335.90000000000003"/>
    <n v="312.387"/>
  </r>
  <r>
    <n v="1027"/>
    <d v="2023-02-06T00:00:00"/>
    <x v="3"/>
    <s v="West"/>
    <n v="3668.23"/>
    <n v="45"/>
    <s v="Food"/>
    <n v="1153.9000000000001"/>
    <n v="1485.34"/>
    <s v="New"/>
    <n v="0.25"/>
    <s v="Credit Card"/>
    <s v="Retail"/>
    <s v="West-Eve"/>
    <x v="0"/>
    <s v="Monday"/>
    <n v="38944.125000000007"/>
    <n v="14914.799999999992"/>
    <n v="11186.099999999995"/>
  </r>
  <r>
    <n v="1063"/>
    <d v="2023-10-05T00:00:00"/>
    <x v="4"/>
    <s v="South"/>
    <n v="7859.01"/>
    <n v="27"/>
    <s v="Food"/>
    <n v="2069.08"/>
    <n v="2246.2399999999998"/>
    <s v="New"/>
    <n v="0.06"/>
    <s v="Bank Transfer"/>
    <s v="Retail"/>
    <s v="South-Alice"/>
    <x v="7"/>
    <s v="Thursday"/>
    <n v="52513.25039999999"/>
    <n v="4783.3199999999961"/>
    <n v="4496.3207999999959"/>
  </r>
  <r>
    <n v="1017"/>
    <d v="2023-07-15T00:00:00"/>
    <x v="1"/>
    <s v="North"/>
    <n v="5705.19"/>
    <n v="23"/>
    <s v="Electronics"/>
    <n v="1771.52"/>
    <n v="2147.8000000000002"/>
    <s v="New"/>
    <n v="7.0000000000000007E-2"/>
    <s v="Bank Transfer"/>
    <s v="Online"/>
    <s v="North-David"/>
    <x v="11"/>
    <s v="Saturday"/>
    <n v="37892.8128"/>
    <n v="8654.4400000000041"/>
    <n v="8048.629200000003"/>
  </r>
  <r>
    <n v="1073"/>
    <d v="2023-12-18T00:00:00"/>
    <x v="3"/>
    <s v="West"/>
    <n v="3196.5"/>
    <n v="40"/>
    <s v="Food"/>
    <n v="157.15"/>
    <n v="436.53"/>
    <s v="New"/>
    <n v="0.04"/>
    <s v="Cash"/>
    <s v="Retail"/>
    <s v="West-Eve"/>
    <x v="9"/>
    <s v="Monday"/>
    <n v="6034.5599999999995"/>
    <n v="11175.2"/>
    <n v="10728.192000000001"/>
  </r>
  <r>
    <n v="1033"/>
    <d v="2023-08-30T00:00:00"/>
    <x v="0"/>
    <s v="East"/>
    <n v="6577.99"/>
    <n v="14"/>
    <s v="Food"/>
    <n v="504.3"/>
    <n v="735.95"/>
    <s v="Returning"/>
    <n v="0.21"/>
    <s v="Cash"/>
    <s v="Retail"/>
    <s v="East-Bob"/>
    <x v="3"/>
    <s v="Wednesday"/>
    <n v="5577.558"/>
    <n v="3243.1000000000004"/>
    <n v="2562.0490000000004"/>
  </r>
  <r>
    <n v="1084"/>
    <d v="2023-11-20T00:00:00"/>
    <x v="0"/>
    <s v="South"/>
    <n v="2396.98"/>
    <n v="15"/>
    <s v="Furniture"/>
    <n v="3420.72"/>
    <n v="3513.74"/>
    <s v="New"/>
    <n v="0.02"/>
    <s v="Cash"/>
    <s v="Online"/>
    <s v="South-Bob"/>
    <x v="8"/>
    <s v="Monday"/>
    <n v="50284.583999999995"/>
    <n v="1395.2999999999997"/>
    <n v="1367.3939999999998"/>
  </r>
  <r>
    <n v="1077"/>
    <d v="2023-08-07T00:00:00"/>
    <x v="2"/>
    <s v="East"/>
    <n v="242.38"/>
    <n v="43"/>
    <s v="Food"/>
    <n v="4402.66"/>
    <n v="4724.7"/>
    <s v="New"/>
    <n v="0.1"/>
    <s v="Bank Transfer"/>
    <s v="Retail"/>
    <s v="East-Charlie"/>
    <x v="3"/>
    <s v="Monday"/>
    <n v="170382.94200000001"/>
    <n v="13847.719999999998"/>
    <n v="12462.947999999999"/>
  </r>
  <r>
    <n v="1092"/>
    <d v="2023-07-11T00:00:00"/>
    <x v="3"/>
    <s v="East"/>
    <n v="7667.1"/>
    <n v="33"/>
    <s v="Electronics"/>
    <n v="2595.42"/>
    <n v="3083.06"/>
    <s v="New"/>
    <n v="0.08"/>
    <s v="Credit Card"/>
    <s v="Online"/>
    <s v="East-Eve"/>
    <x v="11"/>
    <s v="Tuesday"/>
    <n v="78796.95120000001"/>
    <n v="16092.119999999995"/>
    <n v="14804.750399999997"/>
  </r>
  <r>
    <n v="1029"/>
    <d v="2023-01-17T00:00:00"/>
    <x v="2"/>
    <s v="North"/>
    <n v="6275.06"/>
    <n v="31"/>
    <s v="Electronics"/>
    <n v="2719"/>
    <n v="3133.55"/>
    <s v="Returning"/>
    <n v="0.17"/>
    <s v="Bank Transfer"/>
    <s v="Retail"/>
    <s v="North-Charlie"/>
    <x v="5"/>
    <s v="Tuesday"/>
    <n v="69959.87"/>
    <n v="12851.050000000007"/>
    <n v="10666.371500000005"/>
  </r>
  <r>
    <n v="1013"/>
    <d v="2023-01-12T00:00:00"/>
    <x v="4"/>
    <s v="West"/>
    <n v="7646.8"/>
    <n v="35"/>
    <s v="Electronics"/>
    <n v="1312.71"/>
    <n v="1352.11"/>
    <s v="Returning"/>
    <n v="0.22"/>
    <s v="Bank Transfer"/>
    <s v="Retail"/>
    <s v="West-Alice"/>
    <x v="5"/>
    <s v="Thursday"/>
    <n v="35836.983"/>
    <n v="1378.9999999999952"/>
    <n v="1075.6199999999963"/>
  </r>
  <r>
    <n v="1046"/>
    <d v="2023-07-12T00:00:00"/>
    <x v="3"/>
    <s v="North"/>
    <n v="485.49"/>
    <n v="17"/>
    <s v="Furniture"/>
    <n v="3850.99"/>
    <n v="4045.3399999999901"/>
    <s v="Returning"/>
    <n v="0.16"/>
    <s v="Credit Card"/>
    <s v="Online"/>
    <s v="North-Eve"/>
    <x v="11"/>
    <s v="Wednesday"/>
    <n v="54992.13719999999"/>
    <n v="3303.9499999998361"/>
    <n v="2775.3179999998624"/>
  </r>
  <r>
    <n v="1035"/>
    <d v="2023-01-22T00:00:00"/>
    <x v="4"/>
    <s v="North"/>
    <n v="8387.48"/>
    <n v="28"/>
    <s v="Furniture"/>
    <n v="3771.38"/>
    <n v="4234.92"/>
    <s v="New"/>
    <n v="0.28000000000000003"/>
    <s v="Credit Card"/>
    <s v="Retail"/>
    <s v="North-Alice"/>
    <x v="5"/>
    <s v="Sunday"/>
    <n v="76031.020799999998"/>
    <n v="12979.119999999999"/>
    <n v="9344.9663999999993"/>
  </r>
  <r>
    <n v="1006"/>
    <d v="2023-04-30T00:00:00"/>
    <x v="2"/>
    <s v="North"/>
    <n v="6233.31"/>
    <n v="19"/>
    <s v="Clothing"/>
    <n v="2962.41"/>
    <n v="3218.8999999999901"/>
    <s v="New"/>
    <n v="0.28999999999999998"/>
    <s v="Cash"/>
    <s v="Retail"/>
    <s v="North-Charlie"/>
    <x v="1"/>
    <s v="Sunday"/>
    <n v="39962.910899999995"/>
    <n v="4873.309999999814"/>
    <n v="3460.0500999998676"/>
  </r>
  <r>
    <n v="1082"/>
    <d v="2023-07-29T00:00:00"/>
    <x v="3"/>
    <s v="East"/>
    <n v="5677.61"/>
    <n v="46"/>
    <s v="Food"/>
    <n v="1102.69"/>
    <n v="1437.12"/>
    <s v="New"/>
    <n v="0.11"/>
    <s v="Credit Card"/>
    <s v="Online"/>
    <s v="East-Eve"/>
    <x v="11"/>
    <s v="Saturday"/>
    <n v="45144.128600000004"/>
    <n v="15383.779999999992"/>
    <n v="13691.564199999993"/>
  </r>
  <r>
    <n v="1069"/>
    <d v="2023-11-02T00:00:00"/>
    <x v="2"/>
    <s v="North"/>
    <n v="6283.68"/>
    <n v="23"/>
    <s v="Furniture"/>
    <n v="530.24"/>
    <n v="987.41"/>
    <s v="Returning"/>
    <n v="0.23"/>
    <s v="Credit Card"/>
    <s v="Online"/>
    <s v="North-Charlie"/>
    <x v="8"/>
    <s v="Thursday"/>
    <n v="9390.5504000000001"/>
    <n v="10514.91"/>
    <n v="8096.4807000000001"/>
  </r>
  <r>
    <n v="1047"/>
    <d v="2023-09-27T00:00:00"/>
    <x v="3"/>
    <s v="North"/>
    <n v="8657.89"/>
    <n v="32"/>
    <s v="Electronics"/>
    <n v="367.98"/>
    <n v="806.14"/>
    <s v="Returning"/>
    <n v="0.22"/>
    <s v="Credit Card"/>
    <s v="Retail"/>
    <s v="North-Eve"/>
    <x v="2"/>
    <s v="Wednesday"/>
    <n v="9184.7808000000005"/>
    <n v="14021.119999999999"/>
    <n v="10936.473599999999"/>
  </r>
  <r>
    <n v="1025"/>
    <d v="2023-07-11T00:00:00"/>
    <x v="2"/>
    <s v="West"/>
    <n v="5910.67"/>
    <n v="40"/>
    <s v="Electronics"/>
    <n v="2983.85"/>
    <n v="3239.74"/>
    <s v="New"/>
    <n v="0.27"/>
    <s v="Credit Card"/>
    <s v="Online"/>
    <s v="West-Charlie"/>
    <x v="11"/>
    <s v="Tuesday"/>
    <n v="87128.42"/>
    <n v="10235.599999999995"/>
    <n v="7471.9879999999957"/>
  </r>
  <r>
    <n v="1066"/>
    <d v="2023-06-24T00:00:00"/>
    <x v="0"/>
    <s v="West"/>
    <n v="5851.41"/>
    <n v="13"/>
    <s v="Furniture"/>
    <n v="4133.92"/>
    <n v="4358.37"/>
    <s v="New"/>
    <n v="0.13"/>
    <s v="Cash"/>
    <s v="Retail"/>
    <s v="West-Bob"/>
    <x v="6"/>
    <s v="Saturday"/>
    <n v="46754.635199999997"/>
    <n v="2917.8499999999976"/>
    <n v="2538.5294999999978"/>
  </r>
  <r>
    <n v="1010"/>
    <d v="2023-10-12T00:00:00"/>
    <x v="2"/>
    <s v="North"/>
    <n v="9907.7199999999993"/>
    <n v="20"/>
    <s v="Furniture"/>
    <n v="4298.74"/>
    <n v="4475.1899999999996"/>
    <s v="Returning"/>
    <n v="0.16"/>
    <s v="Cash"/>
    <s v="Online"/>
    <s v="North-Charlie"/>
    <x v="7"/>
    <s v="Thursday"/>
    <n v="72218.83199999998"/>
    <n v="3528.9999999999964"/>
    <n v="2964.3599999999969"/>
  </r>
  <r>
    <n v="1056"/>
    <d v="2023-07-23T00:00:00"/>
    <x v="0"/>
    <s v="West"/>
    <n v="7591.63"/>
    <n v="35"/>
    <s v="Furniture"/>
    <n v="2344.9299999999998"/>
    <n v="2707.25"/>
    <s v="New"/>
    <n v="0.12"/>
    <s v="Credit Card"/>
    <s v="Retail"/>
    <s v="West-Bob"/>
    <x v="11"/>
    <s v="Sunday"/>
    <n v="72223.843999999997"/>
    <n v="12681.200000000006"/>
    <n v="11159.456000000006"/>
  </r>
  <r>
    <n v="1030"/>
    <d v="2023-06-13T00:00:00"/>
    <x v="2"/>
    <s v="West"/>
    <n v="4478.71"/>
    <n v="5"/>
    <s v="Clothing"/>
    <n v="3932.14"/>
    <n v="4082.7599999999902"/>
    <s v="New"/>
    <n v="0.26"/>
    <s v="Credit Card"/>
    <s v="Online"/>
    <s v="West-Charlie"/>
    <x v="6"/>
    <s v="Tuesday"/>
    <n v="14548.918"/>
    <n v="753.09999999995171"/>
    <n v="557.29399999996429"/>
  </r>
  <r>
    <n v="1005"/>
    <d v="2023-09-08T00:00:00"/>
    <x v="3"/>
    <s v="North"/>
    <n v="7103.23"/>
    <n v="9"/>
    <s v="Electronics"/>
    <n v="4737.0600000000004"/>
    <n v="4869.5"/>
    <s v="New"/>
    <n v="7.0000000000000007E-2"/>
    <s v="Cash"/>
    <s v="Online"/>
    <s v="North-Eve"/>
    <x v="2"/>
    <s v="Friday"/>
    <n v="39649.192199999998"/>
    <n v="1191.9599999999964"/>
    <n v="1108.5227999999966"/>
  </r>
  <r>
    <n v="1033"/>
    <d v="2023-08-15T00:00:00"/>
    <x v="3"/>
    <s v="East"/>
    <n v="3953.38"/>
    <n v="29"/>
    <s v="Clothing"/>
    <n v="1412.09"/>
    <n v="1596.6499999999901"/>
    <s v="Returning"/>
    <n v="7.0000000000000007E-2"/>
    <s v="Cash"/>
    <s v="Online"/>
    <s v="East-Eve"/>
    <x v="3"/>
    <s v="Tuesday"/>
    <n v="38084.067299999995"/>
    <n v="5352.2399999997151"/>
    <n v="4977.5831999997345"/>
  </r>
  <r>
    <n v="1065"/>
    <d v="2023-01-07T00:00:00"/>
    <x v="3"/>
    <s v="North"/>
    <n v="2365.87"/>
    <n v="6"/>
    <s v="Clothing"/>
    <n v="2019.9"/>
    <n v="2116.7399999999998"/>
    <s v="New"/>
    <n v="0.11"/>
    <s v="Credit Card"/>
    <s v="Online"/>
    <s v="North-Eve"/>
    <x v="5"/>
    <s v="Saturday"/>
    <n v="10786.266000000001"/>
    <n v="581.03999999999814"/>
    <n v="517.12559999999837"/>
  </r>
  <r>
    <n v="1018"/>
    <d v="2023-01-29T00:00:00"/>
    <x v="1"/>
    <s v="West"/>
    <n v="6008.83"/>
    <n v="25"/>
    <s v="Food"/>
    <n v="4660.82"/>
    <n v="5011.4299999999903"/>
    <s v="New"/>
    <n v="7.0000000000000007E-2"/>
    <s v="Bank Transfer"/>
    <s v="Online"/>
    <s v="West-David"/>
    <x v="5"/>
    <s v="Sunday"/>
    <n v="108364.06499999999"/>
    <n v="8765.2499999997635"/>
    <n v="8151.6824999997798"/>
  </r>
  <r>
    <n v="1096"/>
    <d v="2023-02-02T00:00:00"/>
    <x v="4"/>
    <s v="East"/>
    <n v="9289"/>
    <n v="31"/>
    <s v="Electronics"/>
    <n v="1724.24"/>
    <n v="2036.2"/>
    <s v="New"/>
    <n v="0.17"/>
    <s v="Cash"/>
    <s v="Online"/>
    <s v="East-Alice"/>
    <x v="0"/>
    <s v="Thursday"/>
    <n v="44364.695200000002"/>
    <n v="9670.760000000002"/>
    <n v="8026.7308000000012"/>
  </r>
  <r>
    <n v="1049"/>
    <d v="2023-05-14T00:00:00"/>
    <x v="3"/>
    <s v="South"/>
    <n v="9298.48"/>
    <n v="22"/>
    <s v="Electronics"/>
    <n v="4573.6899999999996"/>
    <n v="4820.2999999999902"/>
    <s v="New"/>
    <n v="0.04"/>
    <s v="Cash"/>
    <s v="Online"/>
    <s v="South-Eve"/>
    <x v="10"/>
    <s v="Sunday"/>
    <n v="96596.332799999989"/>
    <n v="5425.4199999997927"/>
    <n v="5208.4031999998006"/>
  </r>
  <r>
    <n v="1011"/>
    <d v="2023-03-20T00:00:00"/>
    <x v="0"/>
    <s v="East"/>
    <n v="3484.86"/>
    <n v="2"/>
    <s v="Furniture"/>
    <n v="4906.17"/>
    <n v="5107.43"/>
    <s v="Returning"/>
    <n v="0.1"/>
    <s v="Cash"/>
    <s v="Online"/>
    <s v="East-Bob"/>
    <x v="4"/>
    <s v="Monday"/>
    <n v="8831.1059999999998"/>
    <n v="402.52000000000044"/>
    <n v="362.26800000000043"/>
  </r>
  <r>
    <n v="1085"/>
    <d v="2023-02-27T00:00:00"/>
    <x v="3"/>
    <s v="West"/>
    <n v="5324.01"/>
    <n v="45"/>
    <s v="Furniture"/>
    <n v="3325.96"/>
    <n v="3781.4"/>
    <s v="Returning"/>
    <n v="0.27"/>
    <s v="Credit Card"/>
    <s v="Online"/>
    <s v="West-Eve"/>
    <x v="0"/>
    <s v="Monday"/>
    <n v="109257.78600000001"/>
    <n v="20494.800000000003"/>
    <n v="14961.204000000002"/>
  </r>
  <r>
    <n v="1026"/>
    <d v="2023-01-26T00:00:00"/>
    <x v="1"/>
    <s v="East"/>
    <n v="2195.1999999999998"/>
    <n v="5"/>
    <s v="Food"/>
    <n v="4093.61"/>
    <n v="4117.88"/>
    <s v="Returning"/>
    <n v="0.12"/>
    <s v="Credit Card"/>
    <s v="Retail"/>
    <s v="East-David"/>
    <x v="5"/>
    <s v="Thursday"/>
    <n v="18011.883999999998"/>
    <n v="121.34999999999991"/>
    <n v="106.78799999999993"/>
  </r>
  <r>
    <n v="1063"/>
    <d v="2023-08-14T00:00:00"/>
    <x v="0"/>
    <s v="North"/>
    <n v="9956.75"/>
    <n v="27"/>
    <s v="Clothing"/>
    <n v="3760.25"/>
    <n v="4147.1099999999997"/>
    <s v="New"/>
    <n v="0.22"/>
    <s v="Cash"/>
    <s v="Online"/>
    <s v="North-Bob"/>
    <x v="3"/>
    <s v="Monday"/>
    <n v="79190.865000000005"/>
    <n v="10445.21999999999"/>
    <n v="8147.2715999999928"/>
  </r>
  <r>
    <n v="1089"/>
    <d v="2023-10-12T00:00:00"/>
    <x v="1"/>
    <s v="South"/>
    <n v="9813.07"/>
    <n v="25"/>
    <s v="Furniture"/>
    <n v="3512.69"/>
    <n v="3964.63"/>
    <s v="Returning"/>
    <n v="0.03"/>
    <s v="Credit Card"/>
    <s v="Retail"/>
    <s v="South-David"/>
    <x v="7"/>
    <s v="Thursday"/>
    <n v="85182.732499999998"/>
    <n v="11298.500000000002"/>
    <n v="10959.545000000002"/>
  </r>
  <r>
    <n v="1086"/>
    <d v="2023-01-04T00:00:00"/>
    <x v="0"/>
    <s v="South"/>
    <n v="6530.14"/>
    <n v="8"/>
    <s v="Furniture"/>
    <n v="1569.31"/>
    <n v="1798.02"/>
    <s v="New"/>
    <n v="7.0000000000000007E-2"/>
    <s v="Credit Card"/>
    <s v="Online"/>
    <s v="South-Bob"/>
    <x v="5"/>
    <s v="Wednesday"/>
    <n v="11675.666399999998"/>
    <n v="1829.6800000000003"/>
    <n v="1701.6024000000002"/>
  </r>
  <r>
    <n v="1059"/>
    <d v="2023-04-09T00:00:00"/>
    <x v="2"/>
    <s v="South"/>
    <n v="8063.7"/>
    <n v="1"/>
    <s v="Electronics"/>
    <n v="332.62"/>
    <n v="612.46"/>
    <s v="Returning"/>
    <n v="0.24"/>
    <s v="Cash"/>
    <s v="Retail"/>
    <s v="South-Charlie"/>
    <x v="1"/>
    <s v="Sunday"/>
    <n v="252.7912"/>
    <n v="279.84000000000003"/>
    <n v="212.67840000000004"/>
  </r>
  <r>
    <n v="1027"/>
    <d v="2023-02-08T00:00:00"/>
    <x v="4"/>
    <s v="West"/>
    <n v="7179.49"/>
    <n v="20"/>
    <s v="Electronics"/>
    <n v="1748.11"/>
    <n v="2220.9"/>
    <s v="New"/>
    <n v="0.23"/>
    <s v="Credit Card"/>
    <s v="Retail"/>
    <s v="West-Alice"/>
    <x v="0"/>
    <s v="Wednesday"/>
    <n v="26920.893999999997"/>
    <n v="9455.8000000000029"/>
    <n v="7280.9660000000022"/>
  </r>
  <r>
    <n v="1049"/>
    <d v="2023-09-28T00:00:00"/>
    <x v="4"/>
    <s v="West"/>
    <n v="5972.27"/>
    <n v="44"/>
    <s v="Furniture"/>
    <n v="3351.33"/>
    <n v="3465.35"/>
    <s v="Returning"/>
    <n v="0.12"/>
    <s v="Bank Transfer"/>
    <s v="Online"/>
    <s v="West-Alice"/>
    <x v="2"/>
    <s v="Thursday"/>
    <n v="129763.49759999999"/>
    <n v="5016.8799999999992"/>
    <n v="4414.8543999999993"/>
  </r>
  <r>
    <n v="1077"/>
    <d v="2023-10-12T00:00:00"/>
    <x v="1"/>
    <s v="South"/>
    <n v="628.15"/>
    <n v="23"/>
    <s v="Electronics"/>
    <n v="557.52"/>
    <n v="822.39"/>
    <s v="Returning"/>
    <n v="0.28999999999999998"/>
    <s v="Credit Card"/>
    <s v="Online"/>
    <s v="South-David"/>
    <x v="7"/>
    <s v="Thursday"/>
    <n v="9104.3015999999989"/>
    <n v="6092.01"/>
    <n v="4325.3270999999995"/>
  </r>
  <r>
    <n v="1033"/>
    <d v="2023-06-06T00:00:00"/>
    <x v="4"/>
    <s v="East"/>
    <n v="4602.17"/>
    <n v="32"/>
    <s v="Food"/>
    <n v="108.99"/>
    <n v="351.6"/>
    <s v="Returning"/>
    <n v="0.27"/>
    <s v="Credit Card"/>
    <s v="Retail"/>
    <s v="East-Alice"/>
    <x v="6"/>
    <s v="Tuesday"/>
    <n v="2546.0063999999998"/>
    <n v="7763.52"/>
    <n v="5667.3696"/>
  </r>
  <r>
    <n v="1098"/>
    <d v="2023-03-16T00:00:00"/>
    <x v="1"/>
    <s v="South"/>
    <n v="6780.38"/>
    <n v="11"/>
    <s v="Furniture"/>
    <n v="741.48"/>
    <n v="878.09"/>
    <s v="New"/>
    <n v="0.28999999999999998"/>
    <s v="Cash"/>
    <s v="Retail"/>
    <s v="South-David"/>
    <x v="4"/>
    <s v="Thursday"/>
    <n v="5790.9588000000003"/>
    <n v="1502.71"/>
    <n v="1066.9241"/>
  </r>
  <r>
    <n v="1099"/>
    <d v="2023-10-15T00:00:00"/>
    <x v="1"/>
    <s v="East"/>
    <n v="6807.56"/>
    <n v="39"/>
    <s v="Electronics"/>
    <n v="3592.89"/>
    <n v="4004"/>
    <s v="New"/>
    <n v="0.13"/>
    <s v="Cash"/>
    <s v="Online"/>
    <s v="East-David"/>
    <x v="7"/>
    <s v="Sunday"/>
    <n v="121906.75769999999"/>
    <n v="16033.290000000005"/>
    <n v="13948.962300000005"/>
  </r>
  <r>
    <n v="1001"/>
    <d v="2023-05-10T00:00:00"/>
    <x v="1"/>
    <s v="East"/>
    <n v="3793.91"/>
    <n v="47"/>
    <s v="Food"/>
    <n v="4865.33"/>
    <n v="5316.13"/>
    <s v="New"/>
    <n v="0.06"/>
    <s v="Bank Transfer"/>
    <s v="Online"/>
    <s v="East-David"/>
    <x v="10"/>
    <s v="Wednesday"/>
    <n v="214950.2794"/>
    <n v="21187.600000000009"/>
    <n v="19916.344000000008"/>
  </r>
  <r>
    <n v="1021"/>
    <d v="2023-06-24T00:00:00"/>
    <x v="4"/>
    <s v="West"/>
    <n v="9422.75"/>
    <n v="24"/>
    <s v="Electronics"/>
    <n v="4916.17"/>
    <n v="5309.32"/>
    <s v="Returning"/>
    <n v="0.19"/>
    <s v="Credit Card"/>
    <s v="Online"/>
    <s v="West-Alice"/>
    <x v="6"/>
    <s v="Saturday"/>
    <n v="95570.344800000006"/>
    <n v="9435.5999999999913"/>
    <n v="7642.8359999999939"/>
  </r>
  <r>
    <n v="1055"/>
    <d v="2023-03-25T00:00:00"/>
    <x v="1"/>
    <s v="East"/>
    <n v="1756.83"/>
    <n v="11"/>
    <s v="Electronics"/>
    <n v="2495.1999999999998"/>
    <n v="2600.9299999999998"/>
    <s v="New"/>
    <n v="0.21"/>
    <s v="Bank Transfer"/>
    <s v="Retail"/>
    <s v="East-David"/>
    <x v="4"/>
    <s v="Saturday"/>
    <n v="21683.288"/>
    <n v="1163.0300000000002"/>
    <n v="918.79370000000017"/>
  </r>
  <r>
    <n v="1006"/>
    <d v="2023-01-22T00:00:00"/>
    <x v="4"/>
    <s v="South"/>
    <n v="5053.5600000000004"/>
    <n v="29"/>
    <s v="Electronics"/>
    <n v="4353.29"/>
    <n v="4405.8"/>
    <s v="New"/>
    <n v="0.04"/>
    <s v="Bank Transfer"/>
    <s v="Online"/>
    <s v="South-Alice"/>
    <x v="5"/>
    <s v="Sunday"/>
    <n v="121195.59359999999"/>
    <n v="1522.7900000000063"/>
    <n v="1461.878400000006"/>
  </r>
  <r>
    <n v="1092"/>
    <d v="2023-01-27T00:00:00"/>
    <x v="1"/>
    <s v="West"/>
    <n v="6939.75"/>
    <n v="26"/>
    <s v="Furniture"/>
    <n v="3697.29"/>
    <n v="4003.96"/>
    <s v="New"/>
    <n v="0.24"/>
    <s v="Cash"/>
    <s v="Online"/>
    <s v="West-David"/>
    <x v="5"/>
    <s v="Friday"/>
    <n v="73058.450400000002"/>
    <n v="7973.4200000000019"/>
    <n v="6059.7992000000013"/>
  </r>
  <r>
    <n v="1081"/>
    <d v="2023-07-14T00:00:00"/>
    <x v="3"/>
    <s v="North"/>
    <n v="7001.64"/>
    <n v="16"/>
    <s v="Clothing"/>
    <n v="2530.15"/>
    <n v="2568.13"/>
    <s v="New"/>
    <n v="0.01"/>
    <s v="Credit Card"/>
    <s v="Online"/>
    <s v="North-Eve"/>
    <x v="11"/>
    <s v="Friday"/>
    <n v="40077.576000000001"/>
    <n v="607.68000000000029"/>
    <n v="601.60320000000024"/>
  </r>
  <r>
    <n v="1069"/>
    <d v="2023-12-03T00:00:00"/>
    <x v="1"/>
    <s v="North"/>
    <n v="6521.53"/>
    <n v="35"/>
    <s v="Electronics"/>
    <n v="2885.16"/>
    <n v="3224.8399999999901"/>
    <s v="New"/>
    <n v="0.14000000000000001"/>
    <s v="Cash"/>
    <s v="Online"/>
    <s v="North-David"/>
    <x v="9"/>
    <s v="Sunday"/>
    <n v="86843.315999999992"/>
    <n v="11888.799999999661"/>
    <n v="10224.367999999708"/>
  </r>
  <r>
    <n v="1095"/>
    <d v="2023-08-24T00:00:00"/>
    <x v="0"/>
    <s v="West"/>
    <n v="2825.35"/>
    <n v="20"/>
    <s v="Food"/>
    <n v="729.27"/>
    <n v="999.18"/>
    <s v="New"/>
    <n v="0.1"/>
    <s v="Bank Transfer"/>
    <s v="Online"/>
    <s v="West-Bob"/>
    <x v="3"/>
    <s v="Thursday"/>
    <n v="13126.86"/>
    <n v="5398.1999999999989"/>
    <n v="4858.3799999999992"/>
  </r>
  <r>
    <n v="1005"/>
    <d v="2023-04-02T00:00:00"/>
    <x v="1"/>
    <s v="South"/>
    <n v="1646.45"/>
    <n v="46"/>
    <s v="Furniture"/>
    <n v="4691.42"/>
    <n v="5026.1899999999996"/>
    <s v="Returning"/>
    <n v="0.22"/>
    <s v="Bank Transfer"/>
    <s v="Retail"/>
    <s v="South-David"/>
    <x v="1"/>
    <s v="Sunday"/>
    <n v="168328.1496"/>
    <n v="15399.419999999978"/>
    <n v="12011.547599999984"/>
  </r>
  <r>
    <n v="1003"/>
    <d v="2023-01-21T00:00:00"/>
    <x v="2"/>
    <s v="North"/>
    <n v="6395.81"/>
    <n v="3"/>
    <s v="Furniture"/>
    <n v="1792.05"/>
    <n v="2091.23"/>
    <s v="Returning"/>
    <n v="0.09"/>
    <s v="Cash"/>
    <s v="Retail"/>
    <s v="North-Charlie"/>
    <x v="5"/>
    <s v="Saturday"/>
    <n v="4892.2964999999995"/>
    <n v="897.54000000000019"/>
    <n v="816.76140000000021"/>
  </r>
  <r>
    <n v="1053"/>
    <d v="2023-10-30T00:00:00"/>
    <x v="1"/>
    <s v="North"/>
    <n v="6033.09"/>
    <n v="1"/>
    <s v="Food"/>
    <n v="2258.44"/>
    <n v="2475.56"/>
    <s v="New"/>
    <n v="0.25"/>
    <s v="Cash"/>
    <s v="Online"/>
    <s v="North-David"/>
    <x v="7"/>
    <s v="Monday"/>
    <n v="1693.83"/>
    <n v="217.11999999999989"/>
    <n v="162.83999999999992"/>
  </r>
  <r>
    <n v="1023"/>
    <d v="2023-12-23T00:00:00"/>
    <x v="0"/>
    <s v="East"/>
    <n v="1875.62"/>
    <n v="47"/>
    <s v="Electronics"/>
    <n v="3374.72"/>
    <n v="3483.1499999999901"/>
    <s v="Returning"/>
    <n v="0.18"/>
    <s v="Cash"/>
    <s v="Online"/>
    <s v="East-Bob"/>
    <x v="9"/>
    <s v="Saturday"/>
    <n v="130061.70880000001"/>
    <n v="5096.2099999995435"/>
    <n v="4178.8921999996255"/>
  </r>
  <r>
    <n v="1053"/>
    <d v="2023-03-25T00:00:00"/>
    <x v="0"/>
    <s v="East"/>
    <n v="7080.88"/>
    <n v="1"/>
    <s v="Clothing"/>
    <n v="1702.82"/>
    <n v="1862.61"/>
    <s v="Returning"/>
    <n v="0.24"/>
    <s v="Cash"/>
    <s v="Retail"/>
    <s v="East-Bob"/>
    <x v="4"/>
    <s v="Saturday"/>
    <n v="1294.1432"/>
    <n v="159.78999999999996"/>
    <n v="121.44039999999997"/>
  </r>
  <r>
    <n v="1037"/>
    <d v="2023-09-19T00:00:00"/>
    <x v="4"/>
    <s v="South"/>
    <n v="4606.2"/>
    <n v="17"/>
    <s v="Electronics"/>
    <n v="1308.58"/>
    <n v="1575.59"/>
    <s v="New"/>
    <n v="0.3"/>
    <s v="Cash"/>
    <s v="Online"/>
    <s v="South-Alice"/>
    <x v="2"/>
    <s v="Tuesday"/>
    <n v="15572.101999999999"/>
    <n v="4539.17"/>
    <n v="3177.4189999999999"/>
  </r>
  <r>
    <n v="1074"/>
    <d v="2023-05-27T00:00:00"/>
    <x v="3"/>
    <s v="West"/>
    <n v="6710.83"/>
    <n v="2"/>
    <s v="Food"/>
    <n v="3173.69"/>
    <n v="3503.11"/>
    <s v="New"/>
    <n v="0.2"/>
    <s v="Bank Transfer"/>
    <s v="Retail"/>
    <s v="West-Eve"/>
    <x v="10"/>
    <s v="Saturday"/>
    <n v="5077.9040000000005"/>
    <n v="658.84000000000015"/>
    <n v="527.07200000000012"/>
  </r>
  <r>
    <n v="1074"/>
    <d v="2023-09-14T00:00:00"/>
    <x v="1"/>
    <s v="South"/>
    <n v="8389.93"/>
    <n v="29"/>
    <s v="Furniture"/>
    <n v="173.67"/>
    <n v="565.62"/>
    <s v="Returning"/>
    <n v="0.3"/>
    <s v="Cash"/>
    <s v="Online"/>
    <s v="South-David"/>
    <x v="2"/>
    <s v="Thursday"/>
    <n v="3525.5009999999993"/>
    <n v="11366.550000000001"/>
    <n v="7956.585"/>
  </r>
  <r>
    <n v="1083"/>
    <d v="2023-02-27T00:00:00"/>
    <x v="4"/>
    <s v="West"/>
    <n v="1780.31"/>
    <n v="20"/>
    <s v="Clothing"/>
    <n v="3617.59"/>
    <n v="4003.5"/>
    <s v="New"/>
    <n v="0.01"/>
    <s v="Credit Card"/>
    <s v="Retail"/>
    <s v="West-Alice"/>
    <x v="0"/>
    <s v="Monday"/>
    <n v="71628.282000000007"/>
    <n v="7718.1999999999971"/>
    <n v="7641.0179999999973"/>
  </r>
  <r>
    <n v="1017"/>
    <d v="2023-01-15T00:00:00"/>
    <x v="3"/>
    <s v="North"/>
    <n v="289.52999999999997"/>
    <n v="6"/>
    <s v="Furniture"/>
    <n v="2594.42"/>
    <n v="3081.04"/>
    <s v="Returning"/>
    <n v="0.1"/>
    <s v="Bank Transfer"/>
    <s v="Retail"/>
    <s v="North-Eve"/>
    <x v="5"/>
    <s v="Sunday"/>
    <n v="14009.868"/>
    <n v="2919.7199999999993"/>
    <n v="2627.7479999999996"/>
  </r>
  <r>
    <n v="1085"/>
    <d v="2023-06-11T00:00:00"/>
    <x v="1"/>
    <s v="East"/>
    <n v="7813.12"/>
    <n v="8"/>
    <s v="Food"/>
    <n v="3048.48"/>
    <n v="3198.54"/>
    <s v="Returning"/>
    <n v="0.03"/>
    <s v="Bank Transfer"/>
    <s v="Online"/>
    <s v="East-David"/>
    <x v="6"/>
    <s v="Sunday"/>
    <n v="23656.2048"/>
    <n v="1200.4799999999996"/>
    <n v="1164.4655999999995"/>
  </r>
  <r>
    <n v="1078"/>
    <d v="2023-06-12T00:00:00"/>
    <x v="2"/>
    <s v="South"/>
    <n v="6136"/>
    <n v="29"/>
    <s v="Electronics"/>
    <n v="3177.81"/>
    <n v="3222.65"/>
    <s v="Returning"/>
    <n v="0.08"/>
    <s v="Credit Card"/>
    <s v="Retail"/>
    <s v="South-Charlie"/>
    <x v="6"/>
    <s v="Monday"/>
    <n v="84783.97080000001"/>
    <n v="1300.3600000000042"/>
    <n v="1196.3312000000039"/>
  </r>
  <r>
    <n v="1073"/>
    <d v="2023-11-16T00:00:00"/>
    <x v="1"/>
    <s v="South"/>
    <n v="7026.43"/>
    <n v="48"/>
    <s v="Clothing"/>
    <n v="2658.9"/>
    <n v="2838.27"/>
    <s v="New"/>
    <n v="0.25"/>
    <s v="Credit Card"/>
    <s v="Online"/>
    <s v="South-David"/>
    <x v="8"/>
    <s v="Thursday"/>
    <n v="95720.400000000009"/>
    <n v="8609.7599999999948"/>
    <n v="6457.3199999999961"/>
  </r>
  <r>
    <n v="1001"/>
    <d v="2023-10-08T00:00:00"/>
    <x v="0"/>
    <s v="West"/>
    <n v="8397.73"/>
    <n v="33"/>
    <s v="Furniture"/>
    <n v="2933.54"/>
    <n v="3307.75"/>
    <s v="Returning"/>
    <n v="0.01"/>
    <s v="Bank Transfer"/>
    <s v="Retail"/>
    <s v="West-Bob"/>
    <x v="7"/>
    <s v="Sunday"/>
    <n v="95838.751799999998"/>
    <n v="12348.93"/>
    <n v="12225.440700000001"/>
  </r>
  <r>
    <n v="1051"/>
    <d v="2023-10-07T00:00:00"/>
    <x v="0"/>
    <s v="West"/>
    <n v="8047.83"/>
    <n v="3"/>
    <s v="Furniture"/>
    <n v="3434.75"/>
    <n v="3659.42"/>
    <s v="New"/>
    <n v="0.16"/>
    <s v="Cash"/>
    <s v="Online"/>
    <s v="West-Bob"/>
    <x v="7"/>
    <s v="Saturday"/>
    <n v="8655.57"/>
    <n v="674.01000000000022"/>
    <n v="566.16840000000013"/>
  </r>
  <r>
    <n v="1045"/>
    <d v="2023-01-12T00:00:00"/>
    <x v="2"/>
    <s v="South"/>
    <n v="9613.11"/>
    <n v="35"/>
    <s v="Furniture"/>
    <n v="3777.94"/>
    <n v="4188.66"/>
    <s v="New"/>
    <n v="0.17"/>
    <s v="Bank Transfer"/>
    <s v="Online"/>
    <s v="South-Charlie"/>
    <x v="5"/>
    <s v="Thursday"/>
    <n v="109749.15699999999"/>
    <n v="14375.199999999993"/>
    <n v="11931.415999999994"/>
  </r>
  <r>
    <n v="1077"/>
    <d v="2023-10-01T00:00:00"/>
    <x v="4"/>
    <s v="West"/>
    <n v="5405.76"/>
    <n v="5"/>
    <s v="Electronics"/>
    <n v="3650.89"/>
    <n v="3930.06"/>
    <s v="New"/>
    <n v="0.17"/>
    <s v="Bank Transfer"/>
    <s v="Online"/>
    <s v="West-Alice"/>
    <x v="7"/>
    <s v="Sunday"/>
    <n v="15151.193499999999"/>
    <n v="1395.8500000000004"/>
    <n v="1158.5555000000002"/>
  </r>
  <r>
    <n v="1004"/>
    <d v="2023-09-28T00:00:00"/>
    <x v="3"/>
    <s v="South"/>
    <n v="4936.1099999999997"/>
    <n v="27"/>
    <s v="Clothing"/>
    <n v="4354.6000000000004"/>
    <n v="4820.2"/>
    <s v="New"/>
    <n v="0.14000000000000001"/>
    <s v="Credit Card"/>
    <s v="Retail"/>
    <s v="South-Eve"/>
    <x v="2"/>
    <s v="Thursday"/>
    <n v="101113.81200000001"/>
    <n v="12571.199999999986"/>
    <n v="10811.231999999987"/>
  </r>
  <r>
    <n v="1062"/>
    <d v="2023-07-27T00:00:00"/>
    <x v="1"/>
    <s v="South"/>
    <n v="4078.68"/>
    <n v="44"/>
    <s v="Electronics"/>
    <n v="987.74"/>
    <n v="1462.19"/>
    <s v="New"/>
    <n v="0.24"/>
    <s v="Bank Transfer"/>
    <s v="Online"/>
    <s v="South-David"/>
    <x v="11"/>
    <s v="Thursday"/>
    <n v="33030.025600000001"/>
    <n v="20875.800000000003"/>
    <n v="15865.608000000002"/>
  </r>
  <r>
    <n v="1065"/>
    <d v="2023-01-27T00:00:00"/>
    <x v="0"/>
    <s v="South"/>
    <n v="1621.54"/>
    <n v="12"/>
    <s v="Electronics"/>
    <n v="2035.68"/>
    <n v="2079.64"/>
    <s v="Returning"/>
    <n v="0.04"/>
    <s v="Cash"/>
    <s v="Online"/>
    <s v="South-Bob"/>
    <x v="5"/>
    <s v="Friday"/>
    <n v="23451.033599999999"/>
    <n v="527.51999999999771"/>
    <n v="506.41919999999777"/>
  </r>
  <r>
    <n v="1032"/>
    <d v="2023-03-13T00:00:00"/>
    <x v="4"/>
    <s v="North"/>
    <n v="5768.81"/>
    <n v="20"/>
    <s v="Electronics"/>
    <n v="4741.59"/>
    <n v="4975.2299999999996"/>
    <s v="New"/>
    <n v="0.09"/>
    <s v="Credit Card"/>
    <s v="Online"/>
    <s v="North-Alice"/>
    <x v="4"/>
    <s v="Monday"/>
    <n v="86296.938000000009"/>
    <n v="4672.7999999999884"/>
    <n v="4252.2479999999896"/>
  </r>
  <r>
    <n v="1034"/>
    <d v="2023-03-01T00:00:00"/>
    <x v="2"/>
    <s v="West"/>
    <n v="2842.42"/>
    <n v="45"/>
    <s v="Food"/>
    <n v="2013.12"/>
    <n v="2321.87"/>
    <s v="New"/>
    <n v="0.18"/>
    <s v="Bank Transfer"/>
    <s v="Retail"/>
    <s v="West-Charlie"/>
    <x v="4"/>
    <s v="Wednesday"/>
    <n v="74284.127999999997"/>
    <n v="13893.75"/>
    <n v="11392.875"/>
  </r>
  <r>
    <n v="1092"/>
    <d v="2023-05-25T00:00:00"/>
    <x v="0"/>
    <s v="East"/>
    <n v="9220.94"/>
    <n v="20"/>
    <s v="Food"/>
    <n v="668.11"/>
    <n v="803.49"/>
    <s v="New"/>
    <n v="0.21"/>
    <s v="Bank Transfer"/>
    <s v="Online"/>
    <s v="East-Bob"/>
    <x v="10"/>
    <s v="Thursday"/>
    <n v="10556.138000000001"/>
    <n v="2707.6"/>
    <n v="2139.0039999999999"/>
  </r>
  <r>
    <n v="1095"/>
    <d v="2023-04-03T00:00:00"/>
    <x v="2"/>
    <s v="East"/>
    <n v="5873.59"/>
    <n v="9"/>
    <s v="Food"/>
    <n v="2650.95"/>
    <n v="2860.4199999999901"/>
    <s v="New"/>
    <n v="0.12"/>
    <s v="Cash"/>
    <s v="Retail"/>
    <s v="East-Charlie"/>
    <x v="1"/>
    <s v="Monday"/>
    <n v="20995.524000000001"/>
    <n v="1885.2299999999123"/>
    <n v="1659.0023999999228"/>
  </r>
  <r>
    <n v="1072"/>
    <d v="2023-11-05T00:00:00"/>
    <x v="1"/>
    <s v="West"/>
    <n v="5969.12"/>
    <n v="39"/>
    <s v="Clothing"/>
    <n v="591.98"/>
    <n v="934.04"/>
    <s v="New"/>
    <n v="0.26"/>
    <s v="Bank Transfer"/>
    <s v="Retail"/>
    <s v="West-David"/>
    <x v="8"/>
    <s v="Sunday"/>
    <n v="17084.542799999999"/>
    <n v="13340.339999999998"/>
    <n v="9871.8515999999981"/>
  </r>
  <r>
    <n v="1039"/>
    <d v="2023-01-08T00:00:00"/>
    <x v="3"/>
    <s v="South"/>
    <n v="3613.75"/>
    <n v="4"/>
    <s v="Electronics"/>
    <n v="1054.1199999999999"/>
    <n v="1175.21999999999"/>
    <s v="Returning"/>
    <n v="0.12"/>
    <s v="Bank Transfer"/>
    <s v="Retail"/>
    <s v="South-Eve"/>
    <x v="5"/>
    <s v="Sunday"/>
    <n v="3710.5023999999999"/>
    <n v="484.39999999996053"/>
    <n v="426.27199999996526"/>
  </r>
  <r>
    <n v="1026"/>
    <d v="2023-03-20T00:00:00"/>
    <x v="0"/>
    <s v="East"/>
    <n v="614.69000000000005"/>
    <n v="19"/>
    <s v="Electronics"/>
    <n v="4991.68"/>
    <n v="5296.65"/>
    <s v="New"/>
    <n v="0.12"/>
    <s v="Bank Transfer"/>
    <s v="Online"/>
    <s v="East-Bob"/>
    <x v="4"/>
    <s v="Monday"/>
    <n v="83460.88960000001"/>
    <n v="5794.4299999999876"/>
    <n v="5099.0983999999889"/>
  </r>
  <r>
    <n v="1034"/>
    <d v="2023-01-27T00:00:00"/>
    <x v="0"/>
    <s v="East"/>
    <n v="414.26"/>
    <n v="38"/>
    <s v="Food"/>
    <n v="2729.75"/>
    <n v="3081.5"/>
    <s v="New"/>
    <n v="0.01"/>
    <s v="Bank Transfer"/>
    <s v="Online"/>
    <s v="East-Bob"/>
    <x v="5"/>
    <s v="Friday"/>
    <n v="102693.19499999999"/>
    <n v="13366.5"/>
    <n v="13232.834999999999"/>
  </r>
  <r>
    <n v="1054"/>
    <d v="2023-06-23T00:00:00"/>
    <x v="1"/>
    <s v="West"/>
    <n v="4291.0200000000004"/>
    <n v="27"/>
    <s v="Electronics"/>
    <n v="1456.09"/>
    <n v="1510.4299999999901"/>
    <s v="Returning"/>
    <n v="0.17"/>
    <s v="Cash"/>
    <s v="Retail"/>
    <s v="West-David"/>
    <x v="6"/>
    <s v="Friday"/>
    <n v="32630.976899999998"/>
    <n v="1467.1799999997338"/>
    <n v="1217.7593999997789"/>
  </r>
  <r>
    <n v="1003"/>
    <d v="2023-02-19T00:00:00"/>
    <x v="4"/>
    <s v="East"/>
    <n v="937.2"/>
    <n v="45"/>
    <s v="Electronics"/>
    <n v="4974.1400000000003"/>
    <n v="5227.93"/>
    <s v="New"/>
    <n v="0.21"/>
    <s v="Bank Transfer"/>
    <s v="Online"/>
    <s v="East-Alice"/>
    <x v="0"/>
    <s v="Sunday"/>
    <n v="176830.67700000003"/>
    <n v="11420.55"/>
    <n v="9022.2345000000005"/>
  </r>
  <r>
    <n v="1050"/>
    <d v="2023-07-18T00:00:00"/>
    <x v="3"/>
    <s v="South"/>
    <n v="6107.78"/>
    <n v="43"/>
    <s v="Furniture"/>
    <n v="4834.47"/>
    <n v="4973.38"/>
    <s v="Returning"/>
    <n v="0.03"/>
    <s v="Bank Transfer"/>
    <s v="Online"/>
    <s v="South-Eve"/>
    <x v="11"/>
    <s v="Tuesday"/>
    <n v="201645.74370000002"/>
    <n v="5973.1299999999937"/>
    <n v="5793.9360999999935"/>
  </r>
  <r>
    <n v="1012"/>
    <d v="2023-12-15T00:00:00"/>
    <x v="0"/>
    <s v="West"/>
    <n v="8821.6299999999992"/>
    <n v="13"/>
    <s v="Electronics"/>
    <n v="2231.66"/>
    <n v="2596.6099999999901"/>
    <s v="Returning"/>
    <n v="0.09"/>
    <s v="Bank Transfer"/>
    <s v="Retail"/>
    <s v="West-Bob"/>
    <x v="9"/>
    <s v="Friday"/>
    <n v="26400.537799999998"/>
    <n v="4744.349999999873"/>
    <n v="4317.3584999998848"/>
  </r>
  <r>
    <n v="1065"/>
    <d v="2023-06-30T00:00:00"/>
    <x v="3"/>
    <s v="South"/>
    <n v="8840.86"/>
    <n v="13"/>
    <s v="Furniture"/>
    <n v="1339"/>
    <n v="1441.88"/>
    <s v="Returning"/>
    <n v="0.23"/>
    <s v="Credit Card"/>
    <s v="Retail"/>
    <s v="South-Eve"/>
    <x v="6"/>
    <s v="Friday"/>
    <n v="13403.39"/>
    <n v="1337.4400000000014"/>
    <n v="1029.8288000000011"/>
  </r>
  <r>
    <n v="1054"/>
    <d v="2023-01-24T00:00:00"/>
    <x v="0"/>
    <s v="East"/>
    <n v="6624.55"/>
    <n v="22"/>
    <s v="Electronics"/>
    <n v="4200.08"/>
    <n v="4647.28"/>
    <s v="Returning"/>
    <n v="0.11"/>
    <s v="Cash"/>
    <s v="Online"/>
    <s v="East-Bob"/>
    <x v="5"/>
    <s v="Tuesday"/>
    <n v="82237.566399999996"/>
    <n v="9838.399999999996"/>
    <n v="8756.1759999999958"/>
  </r>
  <r>
    <n v="1005"/>
    <d v="2023-11-12T00:00:00"/>
    <x v="3"/>
    <s v="East"/>
    <n v="2191.1999999999998"/>
    <n v="28"/>
    <s v="Clothing"/>
    <n v="3592.32"/>
    <n v="3813.48"/>
    <s v="New"/>
    <n v="7.0000000000000007E-2"/>
    <s v="Credit Card"/>
    <s v="Retail"/>
    <s v="East-Eve"/>
    <x v="8"/>
    <s v="Sunday"/>
    <n v="93544.012799999997"/>
    <n v="6192.4799999999959"/>
    <n v="5759.0063999999957"/>
  </r>
  <r>
    <n v="1094"/>
    <d v="2023-02-15T00:00:00"/>
    <x v="2"/>
    <s v="South"/>
    <n v="8643.67"/>
    <n v="47"/>
    <s v="Food"/>
    <n v="3450.36"/>
    <n v="3557.38"/>
    <s v="New"/>
    <n v="0.2"/>
    <s v="Credit Card"/>
    <s v="Online"/>
    <s v="South-Charlie"/>
    <x v="0"/>
    <s v="Wednesday"/>
    <n v="129733.53600000002"/>
    <n v="5029.9399999999987"/>
    <n v="4023.9519999999993"/>
  </r>
  <r>
    <n v="1094"/>
    <d v="2023-01-15T00:00:00"/>
    <x v="0"/>
    <s v="North"/>
    <n v="8872.33"/>
    <n v="45"/>
    <s v="Furniture"/>
    <n v="4470.91"/>
    <n v="4695.54"/>
    <s v="Returning"/>
    <n v="0.06"/>
    <s v="Cash"/>
    <s v="Retail"/>
    <s v="North-Bob"/>
    <x v="5"/>
    <s v="Sunday"/>
    <n v="189119.49299999996"/>
    <n v="10108.350000000006"/>
    <n v="9501.8490000000056"/>
  </r>
  <r>
    <n v="1057"/>
    <d v="2023-06-02T00:00:00"/>
    <x v="3"/>
    <s v="East"/>
    <n v="2046.87"/>
    <n v="22"/>
    <s v="Food"/>
    <n v="3462.61"/>
    <n v="3672.89"/>
    <s v="Returning"/>
    <n v="0.27"/>
    <s v="Credit Card"/>
    <s v="Online"/>
    <s v="East-Eve"/>
    <x v="6"/>
    <s v="Friday"/>
    <n v="55609.516599999995"/>
    <n v="4626.1599999999944"/>
    <n v="3377.0967999999957"/>
  </r>
  <r>
    <n v="1017"/>
    <d v="2023-08-10T00:00:00"/>
    <x v="4"/>
    <s v="North"/>
    <n v="7400.52"/>
    <n v="43"/>
    <s v="Furniture"/>
    <n v="1454.8"/>
    <n v="1674.97"/>
    <s v="New"/>
    <n v="0.03"/>
    <s v="Credit Card"/>
    <s v="Online"/>
    <s v="North-Alice"/>
    <x v="3"/>
    <s v="Thursday"/>
    <n v="60679.707999999999"/>
    <n v="9467.3100000000031"/>
    <n v="9183.2907000000032"/>
  </r>
  <r>
    <n v="1047"/>
    <d v="2023-07-25T00:00:00"/>
    <x v="2"/>
    <s v="East"/>
    <n v="2936.54"/>
    <n v="19"/>
    <s v="Furniture"/>
    <n v="3484.62"/>
    <n v="3781.5499999999902"/>
    <s v="Returning"/>
    <n v="0.21"/>
    <s v="Credit Card"/>
    <s v="Retail"/>
    <s v="East-Charlie"/>
    <x v="11"/>
    <s v="Tuesday"/>
    <n v="52304.146200000003"/>
    <n v="5641.6699999998154"/>
    <n v="4456.919299999854"/>
  </r>
  <r>
    <n v="1023"/>
    <d v="2023-09-30T00:00:00"/>
    <x v="2"/>
    <s v="North"/>
    <n v="8046.14"/>
    <n v="8"/>
    <s v="Furniture"/>
    <n v="1563.78"/>
    <n v="1829.1599999999901"/>
    <s v="Returning"/>
    <n v="0.15"/>
    <s v="Cash"/>
    <s v="Online"/>
    <s v="North-Charlie"/>
    <x v="2"/>
    <s v="Saturday"/>
    <n v="10633.704"/>
    <n v="2123.0399999999208"/>
    <n v="1804.5839999999328"/>
  </r>
  <r>
    <n v="1079"/>
    <d v="2023-08-24T00:00:00"/>
    <x v="4"/>
    <s v="North"/>
    <n v="9972.66"/>
    <n v="8"/>
    <s v="Clothing"/>
    <n v="3808.23"/>
    <n v="3891.62"/>
    <s v="Returning"/>
    <n v="0.26"/>
    <s v="Bank Transfer"/>
    <s v="Online"/>
    <s v="North-Alice"/>
    <x v="3"/>
    <s v="Thursday"/>
    <n v="22544.721600000001"/>
    <n v="667.11999999999898"/>
    <n v="493.66879999999924"/>
  </r>
  <r>
    <n v="1085"/>
    <d v="2023-12-06T00:00:00"/>
    <x v="3"/>
    <s v="North"/>
    <n v="397.26"/>
    <n v="42"/>
    <s v="Electronics"/>
    <n v="3117.75"/>
    <n v="3159.88"/>
    <s v="New"/>
    <n v="0.04"/>
    <s v="Cash"/>
    <s v="Retail"/>
    <s v="North-Eve"/>
    <x v="9"/>
    <s v="Wednesday"/>
    <n v="125707.68"/>
    <n v="1769.4600000000046"/>
    <n v="1698.6816000000044"/>
  </r>
  <r>
    <n v="1014"/>
    <d v="2023-08-16T00:00:00"/>
    <x v="1"/>
    <s v="South"/>
    <n v="8983.92"/>
    <n v="26"/>
    <s v="Furniture"/>
    <n v="433.19"/>
    <n v="800.6"/>
    <s v="Returning"/>
    <n v="0.2"/>
    <s v="Cash"/>
    <s v="Online"/>
    <s v="South-David"/>
    <x v="3"/>
    <s v="Wednesday"/>
    <n v="9010.3520000000008"/>
    <n v="9552.66"/>
    <n v="7642.1280000000006"/>
  </r>
  <r>
    <n v="1066"/>
    <d v="2023-01-09T00:00:00"/>
    <x v="4"/>
    <s v="North"/>
    <n v="6264.04"/>
    <n v="48"/>
    <s v="Clothing"/>
    <n v="2588.54"/>
    <n v="2872.8"/>
    <s v="New"/>
    <n v="0.17"/>
    <s v="Cash"/>
    <s v="Online"/>
    <s v="North-Alice"/>
    <x v="5"/>
    <s v="Monday"/>
    <n v="103127.43359999999"/>
    <n v="13644.48000000001"/>
    <n v="11324.918400000008"/>
  </r>
  <r>
    <n v="1075"/>
    <d v="2023-06-15T00:00:00"/>
    <x v="3"/>
    <s v="North"/>
    <n v="9736.49"/>
    <n v="26"/>
    <s v="Furniture"/>
    <n v="1749.34"/>
    <n v="1935.25"/>
    <s v="New"/>
    <n v="0.14000000000000001"/>
    <s v="Credit Card"/>
    <s v="Online"/>
    <s v="North-Eve"/>
    <x v="6"/>
    <s v="Thursday"/>
    <n v="39115.242399999996"/>
    <n v="4833.6600000000017"/>
    <n v="4156.9476000000013"/>
  </r>
  <r>
    <n v="1051"/>
    <d v="2023-11-15T00:00:00"/>
    <x v="4"/>
    <s v="North"/>
    <n v="4703.59"/>
    <n v="23"/>
    <s v="Electronics"/>
    <n v="1676.42"/>
    <n v="2082.52"/>
    <s v="New"/>
    <n v="0.15"/>
    <s v="Bank Transfer"/>
    <s v="Retail"/>
    <s v="North-Alice"/>
    <x v="8"/>
    <s v="Wednesday"/>
    <n v="32774.010999999999"/>
    <n v="9340.2999999999975"/>
    <n v="7939.2549999999974"/>
  </r>
  <r>
    <n v="1038"/>
    <d v="2023-08-02T00:00:00"/>
    <x v="4"/>
    <s v="East"/>
    <n v="8489.14"/>
    <n v="43"/>
    <s v="Furniture"/>
    <n v="3031.17"/>
    <n v="3231.32"/>
    <s v="Returning"/>
    <n v="0.22"/>
    <s v="Cash"/>
    <s v="Retail"/>
    <s v="East-Alice"/>
    <x v="3"/>
    <s v="Wednesday"/>
    <n v="101665.4418"/>
    <n v="8606.4500000000044"/>
    <n v="6713.0310000000036"/>
  </r>
  <r>
    <n v="1064"/>
    <d v="2023-04-27T00:00:00"/>
    <x v="0"/>
    <s v="North"/>
    <n v="717.7"/>
    <n v="13"/>
    <s v="Clothing"/>
    <n v="1645.51"/>
    <n v="2045.53"/>
    <s v="Returning"/>
    <n v="0.28000000000000003"/>
    <s v="Cash"/>
    <s v="Retail"/>
    <s v="North-Bob"/>
    <x v="1"/>
    <s v="Thursday"/>
    <n v="15401.973599999999"/>
    <n v="5200.26"/>
    <n v="3744.1871999999998"/>
  </r>
  <r>
    <n v="1098"/>
    <d v="2023-12-10T00:00:00"/>
    <x v="3"/>
    <s v="East"/>
    <n v="3419.26"/>
    <n v="28"/>
    <s v="Electronics"/>
    <n v="3895.62"/>
    <n v="4055.44"/>
    <s v="New"/>
    <n v="0.03"/>
    <s v="Bank Transfer"/>
    <s v="Retail"/>
    <s v="East-Eve"/>
    <x v="9"/>
    <s v="Sunday"/>
    <n v="105805.0392"/>
    <n v="4474.9600000000046"/>
    <n v="4340.7112000000043"/>
  </r>
  <r>
    <n v="1038"/>
    <d v="2023-03-13T00:00:00"/>
    <x v="1"/>
    <s v="North"/>
    <n v="763.46"/>
    <n v="9"/>
    <s v="Clothing"/>
    <n v="400.42"/>
    <n v="446.11"/>
    <s v="New"/>
    <n v="0.01"/>
    <s v="Bank Transfer"/>
    <s v="Retail"/>
    <s v="North-David"/>
    <x v="4"/>
    <s v="Monday"/>
    <n v="3567.7422000000001"/>
    <n v="411.21"/>
    <n v="407.09789999999998"/>
  </r>
  <r>
    <n v="1050"/>
    <d v="2023-03-05T00:00:00"/>
    <x v="0"/>
    <s v="North"/>
    <n v="9755.9"/>
    <n v="20"/>
    <s v="Electronics"/>
    <n v="3318.92"/>
    <n v="3785.91"/>
    <s v="New"/>
    <n v="0.24"/>
    <s v="Bank Transfer"/>
    <s v="Online"/>
    <s v="North-Bob"/>
    <x v="4"/>
    <s v="Sunday"/>
    <n v="50447.583999999995"/>
    <n v="9339.7999999999956"/>
    <n v="7098.2479999999969"/>
  </r>
  <r>
    <n v="1098"/>
    <d v="2023-07-24T00:00:00"/>
    <x v="4"/>
    <s v="South"/>
    <n v="8188.04"/>
    <n v="19"/>
    <s v="Electronics"/>
    <n v="4055.51"/>
    <n v="4258.84"/>
    <s v="Returning"/>
    <n v="0.03"/>
    <s v="Credit Card"/>
    <s v="Online"/>
    <s v="South-Alice"/>
    <x v="11"/>
    <s v="Monday"/>
    <n v="74743.049299999999"/>
    <n v="3863.2699999999986"/>
    <n v="3747.3718999999987"/>
  </r>
  <r>
    <n v="1082"/>
    <d v="2023-07-28T00:00:00"/>
    <x v="4"/>
    <s v="East"/>
    <n v="8540.2199999999993"/>
    <n v="48"/>
    <s v="Food"/>
    <n v="3380.52"/>
    <n v="3778.94"/>
    <s v="Returning"/>
    <n v="0.3"/>
    <s v="Bank Transfer"/>
    <s v="Online"/>
    <s v="East-Alice"/>
    <x v="11"/>
    <s v="Friday"/>
    <n v="113585.47199999999"/>
    <n v="19124.160000000003"/>
    <n v="13386.912000000002"/>
  </r>
  <r>
    <n v="1030"/>
    <d v="2023-03-13T00:00:00"/>
    <x v="4"/>
    <s v="North"/>
    <n v="9385.86"/>
    <n v="39"/>
    <s v="Food"/>
    <n v="2511.2800000000002"/>
    <n v="2658.06"/>
    <s v="New"/>
    <n v="0.19"/>
    <s v="Credit Card"/>
    <s v="Retail"/>
    <s v="North-Alice"/>
    <x v="4"/>
    <s v="Monday"/>
    <n v="79331.335200000016"/>
    <n v="5724.4199999999901"/>
    <n v="4636.780199999992"/>
  </r>
  <r>
    <n v="1079"/>
    <d v="2023-10-04T00:00:00"/>
    <x v="3"/>
    <s v="East"/>
    <n v="942.52"/>
    <n v="12"/>
    <s v="Food"/>
    <n v="4754.0200000000004"/>
    <n v="5080.74"/>
    <s v="New"/>
    <n v="0.2"/>
    <s v="Cash"/>
    <s v="Online"/>
    <s v="East-Eve"/>
    <x v="7"/>
    <s v="Wednesday"/>
    <n v="45638.592000000004"/>
    <n v="3920.6399999999921"/>
    <n v="3136.5119999999938"/>
  </r>
  <r>
    <n v="1091"/>
    <d v="2023-10-01T00:00:00"/>
    <x v="3"/>
    <s v="East"/>
    <n v="3917.42"/>
    <n v="15"/>
    <s v="Electronics"/>
    <n v="1534.7"/>
    <n v="1972.62"/>
    <s v="Returning"/>
    <n v="0.06"/>
    <s v="Credit Card"/>
    <s v="Retail"/>
    <s v="East-Eve"/>
    <x v="7"/>
    <s v="Sunday"/>
    <n v="21639.27"/>
    <n v="6568.7999999999975"/>
    <n v="6174.6719999999968"/>
  </r>
  <r>
    <n v="1051"/>
    <d v="2023-11-16T00:00:00"/>
    <x v="0"/>
    <s v="West"/>
    <n v="803.25"/>
    <n v="31"/>
    <s v="Furniture"/>
    <n v="144.88"/>
    <n v="175.29"/>
    <s v="New"/>
    <n v="7.0000000000000007E-2"/>
    <s v="Bank Transfer"/>
    <s v="Online"/>
    <s v="West-Bob"/>
    <x v="8"/>
    <s v="Thursday"/>
    <n v="4176.8903999999993"/>
    <n v="942.70999999999992"/>
    <n v="876.72029999999984"/>
  </r>
  <r>
    <n v="1063"/>
    <d v="2023-12-04T00:00:00"/>
    <x v="1"/>
    <s v="South"/>
    <n v="2186.85"/>
    <n v="14"/>
    <s v="Clothing"/>
    <n v="2188.35"/>
    <n v="2605.3599999999901"/>
    <s v="Returning"/>
    <n v="0.2"/>
    <s v="Credit Card"/>
    <s v="Retail"/>
    <s v="South-David"/>
    <x v="9"/>
    <s v="Monday"/>
    <n v="24509.52"/>
    <n v="5838.139999999863"/>
    <n v="4670.5119999998906"/>
  </r>
  <r>
    <n v="1098"/>
    <d v="2024-01-01T00:00:00"/>
    <x v="0"/>
    <s v="South"/>
    <n v="2370.7199999999998"/>
    <n v="11"/>
    <s v="Clothing"/>
    <n v="213.41"/>
    <n v="503.36"/>
    <s v="Returning"/>
    <n v="0.27"/>
    <s v="Bank Transfer"/>
    <s v="Online"/>
    <s v="South-Bob"/>
    <x v="5"/>
    <s v="Monday"/>
    <n v="1713.6822999999997"/>
    <n v="3189.4500000000007"/>
    <n v="2328.2985000000003"/>
  </r>
  <r>
    <n v="1052"/>
    <d v="2023-04-05T00:00:00"/>
    <x v="2"/>
    <s v="South"/>
    <n v="4744.16"/>
    <n v="26"/>
    <s v="Clothing"/>
    <n v="4771.99"/>
    <n v="5079.6499999999996"/>
    <s v="New"/>
    <n v="0.28999999999999998"/>
    <s v="Credit Card"/>
    <s v="Online"/>
    <s v="South-Charlie"/>
    <x v="1"/>
    <s v="Wednesday"/>
    <n v="88090.935399999988"/>
    <n v="7999.1599999999962"/>
    <n v="5679.4035999999969"/>
  </r>
  <r>
    <n v="1038"/>
    <d v="2023-06-15T00:00:00"/>
    <x v="4"/>
    <s v="West"/>
    <n v="2758.77"/>
    <n v="42"/>
    <s v="Food"/>
    <n v="1089.0899999999999"/>
    <n v="1355.44"/>
    <s v="New"/>
    <n v="0.06"/>
    <s v="Cash"/>
    <s v="Retail"/>
    <s v="West-Alice"/>
    <x v="6"/>
    <s v="Thursday"/>
    <n v="42997.273199999996"/>
    <n v="11186.700000000006"/>
    <n v="10515.498000000005"/>
  </r>
  <r>
    <n v="1097"/>
    <d v="2023-02-01T00:00:00"/>
    <x v="4"/>
    <s v="West"/>
    <n v="1099.68"/>
    <n v="27"/>
    <s v="Electronics"/>
    <n v="3955.19"/>
    <n v="4393.68"/>
    <s v="Returning"/>
    <n v="0.04"/>
    <s v="Credit Card"/>
    <s v="Online"/>
    <s v="West-Alice"/>
    <x v="0"/>
    <s v="Wednesday"/>
    <n v="102518.5248"/>
    <n v="11839.230000000007"/>
    <n v="11365.660800000007"/>
  </r>
  <r>
    <n v="1088"/>
    <d v="2023-01-11T00:00:00"/>
    <x v="4"/>
    <s v="South"/>
    <n v="1758.16"/>
    <n v="11"/>
    <s v="Food"/>
    <n v="3884.13"/>
    <n v="3915.41"/>
    <s v="Returning"/>
    <n v="0.02"/>
    <s v="Cash"/>
    <s v="Online"/>
    <s v="South-Alice"/>
    <x v="5"/>
    <s v="Wednesday"/>
    <n v="41870.921399999999"/>
    <n v="344.0799999999972"/>
    <n v="337.19839999999726"/>
  </r>
  <r>
    <n v="1079"/>
    <d v="2023-10-28T00:00:00"/>
    <x v="0"/>
    <s v="West"/>
    <n v="1558.03"/>
    <n v="38"/>
    <s v="Furniture"/>
    <n v="1127.76"/>
    <n v="1265.6600000000001"/>
    <s v="Returning"/>
    <n v="0.26"/>
    <s v="Bank Transfer"/>
    <s v="Retail"/>
    <s v="West-Bob"/>
    <x v="7"/>
    <s v="Saturday"/>
    <n v="31712.611199999999"/>
    <n v="5240.2000000000035"/>
    <n v="3877.7480000000023"/>
  </r>
  <r>
    <n v="1030"/>
    <d v="2023-08-05T00:00:00"/>
    <x v="0"/>
    <s v="West"/>
    <n v="9733.4599999999991"/>
    <n v="34"/>
    <s v="Electronics"/>
    <n v="3125.07"/>
    <n v="3564.19"/>
    <s v="Returning"/>
    <n v="0.09"/>
    <s v="Cash"/>
    <s v="Online"/>
    <s v="West-Bob"/>
    <x v="3"/>
    <s v="Saturday"/>
    <n v="96689.665800000002"/>
    <n v="14930.079999999996"/>
    <n v="13586.372799999997"/>
  </r>
  <r>
    <n v="1051"/>
    <d v="2023-10-16T00:00:00"/>
    <x v="4"/>
    <s v="West"/>
    <n v="7617"/>
    <n v="43"/>
    <s v="Clothing"/>
    <n v="287.99"/>
    <n v="666.64"/>
    <s v="Returning"/>
    <n v="0"/>
    <s v="Bank Transfer"/>
    <s v="Online"/>
    <s v="West-Alice"/>
    <x v="7"/>
    <s v="Monday"/>
    <n v="12383.57"/>
    <n v="16281.949999999999"/>
    <n v="16281.949999999999"/>
  </r>
  <r>
    <n v="1081"/>
    <d v="2023-04-12T00:00:00"/>
    <x v="0"/>
    <s v="South"/>
    <n v="9680.84"/>
    <n v="19"/>
    <s v="Food"/>
    <n v="2443.69"/>
    <n v="2462.34"/>
    <s v="New"/>
    <n v="7.0000000000000007E-2"/>
    <s v="Bank Transfer"/>
    <s v="Retail"/>
    <s v="South-Bob"/>
    <x v="1"/>
    <s v="Wednesday"/>
    <n v="43180.0023"/>
    <n v="354.35000000000173"/>
    <n v="329.5455000000016"/>
  </r>
  <r>
    <n v="1005"/>
    <d v="2023-09-24T00:00:00"/>
    <x v="3"/>
    <s v="South"/>
    <n v="4453.43"/>
    <n v="6"/>
    <s v="Food"/>
    <n v="122.5"/>
    <n v="385.83"/>
    <s v="Returning"/>
    <n v="0.1"/>
    <s v="Cash"/>
    <s v="Retail"/>
    <s v="South-Eve"/>
    <x v="2"/>
    <s v="Sunday"/>
    <n v="661.5"/>
    <n v="1579.98"/>
    <n v="1421.982"/>
  </r>
  <r>
    <n v="1029"/>
    <d v="2023-08-02T00:00:00"/>
    <x v="3"/>
    <s v="South"/>
    <n v="2855.85"/>
    <n v="46"/>
    <s v="Furniture"/>
    <n v="4609.66"/>
    <n v="4879.1499999999996"/>
    <s v="Returning"/>
    <n v="0.3"/>
    <s v="Cash"/>
    <s v="Retail"/>
    <s v="South-Eve"/>
    <x v="3"/>
    <s v="Wednesday"/>
    <n v="148431.05199999997"/>
    <n v="12396.53999999999"/>
    <n v="8677.5779999999922"/>
  </r>
  <r>
    <n v="1004"/>
    <d v="2023-06-28T00:00:00"/>
    <x v="0"/>
    <s v="West"/>
    <n v="8003.1"/>
    <n v="38"/>
    <s v="Furniture"/>
    <n v="4881.63"/>
    <n v="5088.0600000000004"/>
    <s v="Returning"/>
    <n v="0.16"/>
    <s v="Credit Card"/>
    <s v="Retail"/>
    <s v="West-Bob"/>
    <x v="6"/>
    <s v="Wednesday"/>
    <n v="155821.62959999999"/>
    <n v="7844.3400000000111"/>
    <n v="6589.2456000000093"/>
  </r>
  <r>
    <n v="1010"/>
    <d v="2023-03-29T00:00:00"/>
    <x v="4"/>
    <s v="South"/>
    <n v="3329.91"/>
    <n v="49"/>
    <s v="Food"/>
    <n v="1150.3"/>
    <n v="1306.02"/>
    <s v="New"/>
    <n v="0.06"/>
    <s v="Credit Card"/>
    <s v="Retail"/>
    <s v="South-Alice"/>
    <x v="4"/>
    <s v="Wednesday"/>
    <n v="52982.817999999992"/>
    <n v="7630.2800000000016"/>
    <n v="7172.4632000000011"/>
  </r>
  <r>
    <n v="1056"/>
    <d v="2023-02-10T00:00:00"/>
    <x v="0"/>
    <s v="West"/>
    <n v="3063.9"/>
    <n v="42"/>
    <s v="Furniture"/>
    <n v="1080.1199999999999"/>
    <n v="1424.1699999999901"/>
    <s v="New"/>
    <n v="0.1"/>
    <s v="Cash"/>
    <s v="Online"/>
    <s v="West-Bob"/>
    <x v="0"/>
    <s v="Friday"/>
    <n v="40828.535999999993"/>
    <n v="14450.099999999587"/>
    <n v="13005.089999999629"/>
  </r>
  <r>
    <n v="1017"/>
    <d v="2023-03-17T00:00:00"/>
    <x v="0"/>
    <s v="North"/>
    <n v="2401.81"/>
    <n v="28"/>
    <s v="Clothing"/>
    <n v="3780.91"/>
    <n v="3892.73"/>
    <s v="Returning"/>
    <n v="0.1"/>
    <s v="Cash"/>
    <s v="Retail"/>
    <s v="North-Bob"/>
    <x v="4"/>
    <s v="Friday"/>
    <n v="95278.932000000001"/>
    <n v="3130.9600000000046"/>
    <n v="2817.8640000000041"/>
  </r>
  <r>
    <n v="1074"/>
    <d v="2023-02-15T00:00:00"/>
    <x v="0"/>
    <s v="West"/>
    <n v="1383.82"/>
    <n v="1"/>
    <s v="Furniture"/>
    <n v="1304.23"/>
    <n v="1705.71"/>
    <s v="Returning"/>
    <n v="0.01"/>
    <s v="Cash"/>
    <s v="Retail"/>
    <s v="West-Bob"/>
    <x v="0"/>
    <s v="Wednesday"/>
    <n v="1291.1876999999999"/>
    <n v="401.48"/>
    <n v="397.46520000000004"/>
  </r>
  <r>
    <n v="1017"/>
    <d v="2023-06-09T00:00:00"/>
    <x v="2"/>
    <s v="East"/>
    <n v="2638.98"/>
    <n v="35"/>
    <s v="Furniture"/>
    <n v="4480.63"/>
    <n v="4884.12"/>
    <s v="New"/>
    <n v="0.04"/>
    <s v="Cash"/>
    <s v="Online"/>
    <s v="East-Charlie"/>
    <x v="6"/>
    <s v="Friday"/>
    <n v="150549.16800000001"/>
    <n v="14122.149999999992"/>
    <n v="13557.263999999992"/>
  </r>
  <r>
    <n v="1084"/>
    <d v="2023-03-21T00:00:00"/>
    <x v="3"/>
    <s v="South"/>
    <n v="3617.67"/>
    <n v="40"/>
    <s v="Food"/>
    <n v="2890.95"/>
    <n v="3104.43"/>
    <s v="New"/>
    <n v="0.21"/>
    <s v="Bank Transfer"/>
    <s v="Online"/>
    <s v="South-Eve"/>
    <x v="4"/>
    <s v="Tuesday"/>
    <n v="91354.02"/>
    <n v="8539.2000000000007"/>
    <n v="6745.9680000000008"/>
  </r>
  <r>
    <n v="1088"/>
    <d v="2023-11-06T00:00:00"/>
    <x v="1"/>
    <s v="South"/>
    <n v="6772.54"/>
    <n v="8"/>
    <s v="Food"/>
    <n v="1786.35"/>
    <n v="1935.29"/>
    <s v="New"/>
    <n v="0.04"/>
    <s v="Cash"/>
    <s v="Online"/>
    <s v="South-David"/>
    <x v="8"/>
    <s v="Monday"/>
    <n v="13719.168"/>
    <n v="1191.5200000000004"/>
    <n v="1143.8592000000003"/>
  </r>
  <r>
    <n v="1069"/>
    <d v="2023-03-27T00:00:00"/>
    <x v="1"/>
    <s v="East"/>
    <n v="719.39"/>
    <n v="47"/>
    <s v="Electronics"/>
    <n v="4171.83"/>
    <n v="4320.93"/>
    <s v="New"/>
    <n v="7.0000000000000007E-2"/>
    <s v="Cash"/>
    <s v="Online"/>
    <s v="East-David"/>
    <x v="4"/>
    <s v="Monday"/>
    <n v="182350.6893"/>
    <n v="7007.7000000000171"/>
    <n v="6517.1610000000155"/>
  </r>
  <r>
    <n v="1034"/>
    <d v="2023-04-02T00:00:00"/>
    <x v="2"/>
    <s v="West"/>
    <n v="2184.02"/>
    <n v="7"/>
    <s v="Electronics"/>
    <n v="2492.36"/>
    <n v="2738.68"/>
    <s v="Returning"/>
    <n v="0.11"/>
    <s v="Cash"/>
    <s v="Online"/>
    <s v="West-Charlie"/>
    <x v="1"/>
    <s v="Sunday"/>
    <n v="15527.4028"/>
    <n v="1724.239999999998"/>
    <n v="1534.5735999999981"/>
  </r>
  <r>
    <n v="1006"/>
    <d v="2023-05-28T00:00:00"/>
    <x v="0"/>
    <s v="North"/>
    <n v="8109.33"/>
    <n v="11"/>
    <s v="Food"/>
    <n v="4562.58"/>
    <n v="4925.17"/>
    <s v="New"/>
    <n v="0.23"/>
    <s v="Cash"/>
    <s v="Retail"/>
    <s v="North-Bob"/>
    <x v="10"/>
    <s v="Sunday"/>
    <n v="38645.052599999995"/>
    <n v="3988.4900000000016"/>
    <n v="3071.1373000000012"/>
  </r>
  <r>
    <n v="1053"/>
    <d v="2023-06-10T00:00:00"/>
    <x v="2"/>
    <s v="East"/>
    <n v="1554.53"/>
    <n v="39"/>
    <s v="Furniture"/>
    <n v="4643.67"/>
    <n v="4829.5200000000004"/>
    <s v="Returning"/>
    <n v="0.17"/>
    <s v="Bank Transfer"/>
    <s v="Online"/>
    <s v="East-Charlie"/>
    <x v="6"/>
    <s v="Saturday"/>
    <n v="150315.59789999999"/>
    <n v="7248.1500000000142"/>
    <n v="6015.9645000000119"/>
  </r>
  <r>
    <n v="1066"/>
    <d v="2023-07-21T00:00:00"/>
    <x v="2"/>
    <s v="East"/>
    <n v="3492.19"/>
    <n v="4"/>
    <s v="Furniture"/>
    <n v="868.83"/>
    <n v="1177.75"/>
    <s v="Returning"/>
    <n v="0.21"/>
    <s v="Credit Card"/>
    <s v="Retail"/>
    <s v="East-Charlie"/>
    <x v="11"/>
    <s v="Friday"/>
    <n v="2745.5028000000002"/>
    <n v="1235.6799999999998"/>
    <n v="976.18719999999996"/>
  </r>
  <r>
    <n v="1077"/>
    <d v="2023-08-30T00:00:00"/>
    <x v="4"/>
    <s v="West"/>
    <n v="8660.1200000000008"/>
    <n v="25"/>
    <s v="Electronics"/>
    <n v="61.5"/>
    <n v="258.91999999999899"/>
    <s v="New"/>
    <n v="0.17"/>
    <s v="Credit Card"/>
    <s v="Online"/>
    <s v="West-Alice"/>
    <x v="3"/>
    <s v="Wednesday"/>
    <n v="1276.125"/>
    <n v="4935.4999999999745"/>
    <n v="4096.4649999999783"/>
  </r>
  <r>
    <n v="1043"/>
    <d v="2023-12-19T00:00:00"/>
    <x v="3"/>
    <s v="South"/>
    <n v="1633.76"/>
    <n v="12"/>
    <s v="Electronics"/>
    <n v="4920.46"/>
    <n v="5079.68"/>
    <s v="New"/>
    <n v="0.21"/>
    <s v="Credit Card"/>
    <s v="Retail"/>
    <s v="South-Eve"/>
    <x v="9"/>
    <s v="Tuesday"/>
    <n v="46645.960800000008"/>
    <n v="1910.6400000000031"/>
    <n v="1509.4056000000026"/>
  </r>
  <r>
    <n v="1075"/>
    <d v="2023-01-02T00:00:00"/>
    <x v="1"/>
    <s v="West"/>
    <n v="919.09"/>
    <n v="26"/>
    <s v="Electronics"/>
    <n v="4535.38"/>
    <n v="4557.5600000000004"/>
    <s v="New"/>
    <n v="0"/>
    <s v="Credit Card"/>
    <s v="Online"/>
    <s v="West-David"/>
    <x v="5"/>
    <s v="Monday"/>
    <n v="117919.88"/>
    <n v="576.68000000000757"/>
    <n v="576.68000000000757"/>
  </r>
  <r>
    <n v="1023"/>
    <d v="2023-08-13T00:00:00"/>
    <x v="0"/>
    <s v="East"/>
    <n v="4896.93"/>
    <n v="38"/>
    <s v="Clothing"/>
    <n v="324.45"/>
    <n v="336.37"/>
    <s v="New"/>
    <n v="0.28000000000000003"/>
    <s v="Credit Card"/>
    <s v="Retail"/>
    <s v="East-Bob"/>
    <x v="3"/>
    <s v="Sunday"/>
    <n v="8876.9519999999993"/>
    <n v="452.9600000000006"/>
    <n v="326.13120000000043"/>
  </r>
  <r>
    <n v="1055"/>
    <d v="2023-10-16T00:00:00"/>
    <x v="1"/>
    <s v="East"/>
    <n v="3093.95"/>
    <n v="46"/>
    <s v="Clothing"/>
    <n v="4173.5200000000004"/>
    <n v="4294.8500000000004"/>
    <s v="Returning"/>
    <n v="0.03"/>
    <s v="Bank Transfer"/>
    <s v="Retail"/>
    <s v="East-David"/>
    <x v="7"/>
    <s v="Monday"/>
    <n v="186222.46240000002"/>
    <n v="5581.1799999999967"/>
    <n v="5413.7445999999964"/>
  </r>
  <r>
    <n v="1080"/>
    <d v="2023-08-21T00:00:00"/>
    <x v="1"/>
    <s v="South"/>
    <n v="5677.74"/>
    <n v="12"/>
    <s v="Electronics"/>
    <n v="2316.13"/>
    <n v="2525.27"/>
    <s v="Returning"/>
    <n v="0.12"/>
    <s v="Credit Card"/>
    <s v="Retail"/>
    <s v="South-David"/>
    <x v="3"/>
    <s v="Monday"/>
    <n v="24458.3328"/>
    <n v="2509.6799999999985"/>
    <n v="2208.5183999999986"/>
  </r>
  <r>
    <n v="1095"/>
    <d v="2023-03-18T00:00:00"/>
    <x v="3"/>
    <s v="South"/>
    <n v="8057.67"/>
    <n v="43"/>
    <s v="Furniture"/>
    <n v="1331.86"/>
    <n v="1758.98"/>
    <s v="Returning"/>
    <n v="0.23"/>
    <s v="Bank Transfer"/>
    <s v="Retail"/>
    <s v="South-Eve"/>
    <x v="4"/>
    <s v="Saturday"/>
    <n v="44097.884599999998"/>
    <n v="18366.160000000003"/>
    <n v="14141.943200000003"/>
  </r>
  <r>
    <n v="1075"/>
    <d v="2023-04-26T00:00:00"/>
    <x v="1"/>
    <s v="South"/>
    <n v="1457.77"/>
    <n v="37"/>
    <s v="Electronics"/>
    <n v="4399.8"/>
    <n v="4801.0600000000004"/>
    <s v="New"/>
    <n v="0.13"/>
    <s v="Bank Transfer"/>
    <s v="Retail"/>
    <s v="South-David"/>
    <x v="1"/>
    <s v="Wednesday"/>
    <n v="141629.56200000001"/>
    <n v="14846.620000000008"/>
    <n v="12916.559400000007"/>
  </r>
  <r>
    <n v="1016"/>
    <d v="2023-06-03T00:00:00"/>
    <x v="1"/>
    <s v="West"/>
    <n v="5848.92"/>
    <n v="46"/>
    <s v="Clothing"/>
    <n v="1023.5"/>
    <n v="1164.4100000000001"/>
    <s v="Returning"/>
    <n v="0.28000000000000003"/>
    <s v="Credit Card"/>
    <s v="Retail"/>
    <s v="West-David"/>
    <x v="6"/>
    <s v="Saturday"/>
    <n v="33898.32"/>
    <n v="6481.8600000000042"/>
    <n v="4666.9392000000025"/>
  </r>
  <r>
    <n v="1008"/>
    <d v="2023-04-13T00:00:00"/>
    <x v="2"/>
    <s v="South"/>
    <n v="5104.54"/>
    <n v="24"/>
    <s v="Furniture"/>
    <n v="4739.13"/>
    <n v="4868.95"/>
    <s v="New"/>
    <n v="0.14000000000000001"/>
    <s v="Credit Card"/>
    <s v="Retail"/>
    <s v="South-Charlie"/>
    <x v="1"/>
    <s v="Thursday"/>
    <n v="97815.643199999991"/>
    <n v="3115.679999999993"/>
    <n v="2679.4847999999938"/>
  </r>
  <r>
    <n v="1004"/>
    <d v="2023-07-13T00:00:00"/>
    <x v="3"/>
    <s v="East"/>
    <n v="1526.38"/>
    <n v="16"/>
    <s v="Clothing"/>
    <n v="1067.83"/>
    <n v="1189.22"/>
    <s v="Returning"/>
    <n v="0.26"/>
    <s v="Credit Card"/>
    <s v="Retail"/>
    <s v="East-Eve"/>
    <x v="11"/>
    <s v="Thursday"/>
    <n v="12643.107199999999"/>
    <n v="1942.2400000000016"/>
    <n v="1437.2576000000013"/>
  </r>
  <r>
    <n v="1004"/>
    <d v="2023-06-15T00:00:00"/>
    <x v="4"/>
    <s v="East"/>
    <n v="6277.59"/>
    <n v="13"/>
    <s v="Furniture"/>
    <n v="3087.73"/>
    <n v="3263.96"/>
    <s v="New"/>
    <n v="0.24"/>
    <s v="Cash"/>
    <s v="Retail"/>
    <s v="East-Alice"/>
    <x v="6"/>
    <s v="Thursday"/>
    <n v="30506.772399999998"/>
    <n v="2290.9900000000002"/>
    <n v="1741.1524000000002"/>
  </r>
  <r>
    <n v="1056"/>
    <d v="2023-12-25T00:00:00"/>
    <x v="0"/>
    <s v="North"/>
    <n v="2809.04"/>
    <n v="25"/>
    <s v="Clothing"/>
    <n v="1154.28"/>
    <n v="1408.4"/>
    <s v="Returning"/>
    <n v="0.28999999999999998"/>
    <s v="Bank Transfer"/>
    <s v="Retail"/>
    <s v="North-Bob"/>
    <x v="9"/>
    <s v="Monday"/>
    <n v="20488.469999999998"/>
    <n v="6353.0000000000027"/>
    <n v="4510.6300000000019"/>
  </r>
  <r>
    <n v="1025"/>
    <d v="2023-03-31T00:00:00"/>
    <x v="1"/>
    <s v="West"/>
    <n v="4929.5600000000004"/>
    <n v="4"/>
    <s v="Furniture"/>
    <n v="2751.06"/>
    <n v="2976.0099999999902"/>
    <s v="Returning"/>
    <n v="0.28000000000000003"/>
    <s v="Credit Card"/>
    <s v="Online"/>
    <s v="West-David"/>
    <x v="4"/>
    <s v="Friday"/>
    <n v="7923.0527999999995"/>
    <n v="899.79999999996107"/>
    <n v="647.85599999997191"/>
  </r>
  <r>
    <n v="1067"/>
    <d v="2023-06-23T00:00:00"/>
    <x v="0"/>
    <s v="North"/>
    <n v="914.5"/>
    <n v="11"/>
    <s v="Furniture"/>
    <n v="3435.68"/>
    <n v="3552.6299999999901"/>
    <s v="New"/>
    <n v="0.27"/>
    <s v="Cash"/>
    <s v="Retail"/>
    <s v="North-Bob"/>
    <x v="6"/>
    <s v="Friday"/>
    <n v="27588.510399999996"/>
    <n v="1286.449999999893"/>
    <n v="939.10849999992183"/>
  </r>
  <r>
    <n v="1096"/>
    <d v="2023-05-02T00:00:00"/>
    <x v="4"/>
    <s v="East"/>
    <n v="4649.88"/>
    <n v="32"/>
    <s v="Furniture"/>
    <n v="991.63"/>
    <n v="1065.55"/>
    <s v="Returning"/>
    <n v="0.22"/>
    <s v="Bank Transfer"/>
    <s v="Retail"/>
    <s v="East-Alice"/>
    <x v="10"/>
    <s v="Tuesday"/>
    <n v="24751.084800000001"/>
    <n v="2365.4399999999987"/>
    <n v="1845.0431999999989"/>
  </r>
  <r>
    <n v="1067"/>
    <d v="2023-05-23T00:00:00"/>
    <x v="0"/>
    <s v="North"/>
    <n v="3133.99"/>
    <n v="49"/>
    <s v="Furniture"/>
    <n v="2628.38"/>
    <n v="2644.54"/>
    <s v="Returning"/>
    <n v="0.11"/>
    <s v="Cash"/>
    <s v="Online"/>
    <s v="North-Bob"/>
    <x v="10"/>
    <s v="Tuesday"/>
    <n v="114623.65180000001"/>
    <n v="791.83999999999287"/>
    <n v="704.73759999999368"/>
  </r>
  <r>
    <n v="1027"/>
    <d v="2023-04-16T00:00:00"/>
    <x v="4"/>
    <s v="East"/>
    <n v="8241.57"/>
    <n v="7"/>
    <s v="Food"/>
    <n v="2371.85"/>
    <n v="2457.29"/>
    <s v="New"/>
    <n v="0.03"/>
    <s v="Cash"/>
    <s v="Retail"/>
    <s v="East-Alice"/>
    <x v="1"/>
    <s v="Sunday"/>
    <n v="16104.861500000001"/>
    <n v="598.08000000000038"/>
    <n v="580.13760000000036"/>
  </r>
  <r>
    <n v="1093"/>
    <d v="2023-11-01T00:00:00"/>
    <x v="2"/>
    <s v="North"/>
    <n v="664.09"/>
    <n v="46"/>
    <s v="Clothing"/>
    <n v="401.64"/>
    <n v="757.26"/>
    <s v="New"/>
    <n v="0.21"/>
    <s v="Credit Card"/>
    <s v="Retail"/>
    <s v="North-Charlie"/>
    <x v="8"/>
    <s v="Wednesday"/>
    <n v="14595.597599999999"/>
    <n v="16358.52"/>
    <n v="12923.230800000001"/>
  </r>
  <r>
    <n v="1032"/>
    <d v="2023-12-26T00:00:00"/>
    <x v="1"/>
    <s v="South"/>
    <n v="4244.21"/>
    <n v="11"/>
    <s v="Clothing"/>
    <n v="4100.62"/>
    <n v="4230"/>
    <s v="New"/>
    <n v="0.28999999999999998"/>
    <s v="Bank Transfer"/>
    <s v="Online"/>
    <s v="South-David"/>
    <x v="9"/>
    <s v="Tuesday"/>
    <n v="32025.842199999999"/>
    <n v="1423.1800000000012"/>
    <n v="1010.4578000000008"/>
  </r>
  <r>
    <n v="1050"/>
    <d v="2023-11-13T00:00:00"/>
    <x v="4"/>
    <s v="North"/>
    <n v="4638.47"/>
    <n v="28"/>
    <s v="Food"/>
    <n v="1711.63"/>
    <n v="1951.24"/>
    <s v="New"/>
    <n v="0.22"/>
    <s v="Cash"/>
    <s v="Online"/>
    <s v="North-Alice"/>
    <x v="8"/>
    <s v="Monday"/>
    <n v="37381.999199999998"/>
    <n v="6709.0799999999972"/>
    <n v="5233.0823999999984"/>
  </r>
  <r>
    <n v="1061"/>
    <d v="2023-05-03T00:00:00"/>
    <x v="0"/>
    <s v="South"/>
    <n v="7277.56"/>
    <n v="41"/>
    <s v="Furniture"/>
    <n v="2894.18"/>
    <n v="3193.92"/>
    <s v="New"/>
    <n v="0.28000000000000003"/>
    <s v="Bank Transfer"/>
    <s v="Retail"/>
    <s v="South-Bob"/>
    <x v="10"/>
    <s v="Wednesday"/>
    <n v="85436.193599999984"/>
    <n v="12289.340000000009"/>
    <n v="8848.3248000000058"/>
  </r>
  <r>
    <n v="1051"/>
    <d v="2023-01-09T00:00:00"/>
    <x v="1"/>
    <s v="South"/>
    <n v="5785.45"/>
    <n v="23"/>
    <s v="Furniture"/>
    <n v="2598.1799999999998"/>
    <n v="3042.73"/>
    <s v="Returning"/>
    <n v="0.24"/>
    <s v="Credit Card"/>
    <s v="Online"/>
    <s v="South-David"/>
    <x v="5"/>
    <s v="Monday"/>
    <n v="45416.186399999999"/>
    <n v="10224.650000000005"/>
    <n v="7770.734000000004"/>
  </r>
  <r>
    <n v="1019"/>
    <d v="2023-09-19T00:00:00"/>
    <x v="2"/>
    <s v="West"/>
    <n v="6705.4"/>
    <n v="45"/>
    <s v="Clothing"/>
    <n v="2590.64"/>
    <n v="3036.18"/>
    <s v="New"/>
    <n v="0.05"/>
    <s v="Bank Transfer"/>
    <s v="Retail"/>
    <s v="West-Charlie"/>
    <x v="2"/>
    <s v="Tuesday"/>
    <n v="110749.85999999999"/>
    <n v="20049.3"/>
    <n v="19046.834999999999"/>
  </r>
  <r>
    <n v="1021"/>
    <d v="2023-03-14T00:00:00"/>
    <x v="1"/>
    <s v="South"/>
    <n v="7792.79"/>
    <n v="23"/>
    <s v="Food"/>
    <n v="580.75"/>
    <n v="956.16"/>
    <s v="Returning"/>
    <n v="7.0000000000000007E-2"/>
    <s v="Cash"/>
    <s v="Retail"/>
    <s v="South-David"/>
    <x v="4"/>
    <s v="Tuesday"/>
    <n v="12422.242499999998"/>
    <n v="8634.4299999999985"/>
    <n v="8030.0198999999984"/>
  </r>
  <r>
    <n v="1005"/>
    <d v="2023-12-25T00:00:00"/>
    <x v="4"/>
    <s v="South"/>
    <n v="8635.81"/>
    <n v="28"/>
    <s v="Furniture"/>
    <n v="2146.2399999999998"/>
    <n v="2173.4699999999998"/>
    <s v="Returning"/>
    <n v="0.1"/>
    <s v="Cash"/>
    <s v="Retail"/>
    <s v="South-Alice"/>
    <x v="9"/>
    <s v="Monday"/>
    <n v="54085.247999999992"/>
    <n v="762.44000000000051"/>
    <n v="686.19600000000048"/>
  </r>
  <r>
    <n v="1082"/>
    <d v="2023-08-11T00:00:00"/>
    <x v="2"/>
    <s v="North"/>
    <n v="3207.37"/>
    <n v="43"/>
    <s v="Furniture"/>
    <n v="2289.2199999999998"/>
    <n v="2581"/>
    <s v="New"/>
    <n v="0.05"/>
    <s v="Bank Transfer"/>
    <s v="Online"/>
    <s v="North-Charlie"/>
    <x v="3"/>
    <s v="Friday"/>
    <n v="93514.636999999988"/>
    <n v="12546.540000000008"/>
    <n v="11919.213000000007"/>
  </r>
  <r>
    <n v="1092"/>
    <d v="2023-02-10T00:00:00"/>
    <x v="0"/>
    <s v="East"/>
    <n v="5426.42"/>
    <n v="47"/>
    <s v="Furniture"/>
    <n v="3681.53"/>
    <n v="4076.96"/>
    <s v="Returning"/>
    <n v="0.17"/>
    <s v="Cash"/>
    <s v="Retail"/>
    <s v="East-Bob"/>
    <x v="0"/>
    <s v="Friday"/>
    <n v="143616.4853"/>
    <n v="18585.209999999992"/>
    <n v="15425.724299999993"/>
  </r>
  <r>
    <n v="1042"/>
    <d v="2023-07-23T00:00:00"/>
    <x v="2"/>
    <s v="West"/>
    <n v="8417.07"/>
    <n v="26"/>
    <s v="Electronics"/>
    <n v="4208.09"/>
    <n v="4226.5600000000004"/>
    <s v="Returning"/>
    <n v="0.28999999999999998"/>
    <s v="Cash"/>
    <s v="Retail"/>
    <s v="West-Charlie"/>
    <x v="11"/>
    <s v="Sunday"/>
    <n v="77681.34139999999"/>
    <n v="480.22000000000662"/>
    <n v="340.95620000000469"/>
  </r>
  <r>
    <n v="1061"/>
    <d v="2023-09-21T00:00:00"/>
    <x v="2"/>
    <s v="South"/>
    <n v="9895.57"/>
    <n v="25"/>
    <s v="Food"/>
    <n v="2747.66"/>
    <n v="3027.0099999999902"/>
    <s v="New"/>
    <n v="0.23"/>
    <s v="Cash"/>
    <s v="Online"/>
    <s v="South-Charlie"/>
    <x v="2"/>
    <s v="Thursday"/>
    <n v="52892.455000000002"/>
    <n v="6983.749999999759"/>
    <n v="5377.4874999998146"/>
  </r>
  <r>
    <n v="1022"/>
    <d v="2023-11-24T00:00:00"/>
    <x v="3"/>
    <s v="West"/>
    <n v="8906.24"/>
    <n v="29"/>
    <s v="Furniture"/>
    <n v="479.58"/>
    <n v="909.88"/>
    <s v="Returning"/>
    <n v="0.13"/>
    <s v="Credit Card"/>
    <s v="Retail"/>
    <s v="West-Eve"/>
    <x v="8"/>
    <s v="Friday"/>
    <n v="12099.803399999999"/>
    <n v="12478.7"/>
    <n v="10856.469000000001"/>
  </r>
  <r>
    <n v="1021"/>
    <d v="2023-06-27T00:00:00"/>
    <x v="2"/>
    <s v="North"/>
    <n v="3777.53"/>
    <n v="19"/>
    <s v="Electronics"/>
    <n v="1222.4000000000001"/>
    <n v="1464.71"/>
    <s v="New"/>
    <n v="0"/>
    <s v="Credit Card"/>
    <s v="Retail"/>
    <s v="North-Charlie"/>
    <x v="6"/>
    <s v="Tuesday"/>
    <n v="23225.600000000002"/>
    <n v="4603.8899999999994"/>
    <n v="4603.8899999999994"/>
  </r>
  <r>
    <n v="1070"/>
    <d v="2023-12-14T00:00:00"/>
    <x v="2"/>
    <s v="South"/>
    <n v="2032.15"/>
    <n v="33"/>
    <s v="Food"/>
    <n v="866.42"/>
    <n v="878.43"/>
    <s v="New"/>
    <n v="0.09"/>
    <s v="Cash"/>
    <s v="Retail"/>
    <s v="South-Charlie"/>
    <x v="9"/>
    <s v="Thursday"/>
    <n v="26018.592599999996"/>
    <n v="396.3299999999997"/>
    <n v="360.66029999999972"/>
  </r>
  <r>
    <n v="1001"/>
    <d v="2023-11-14T00:00:00"/>
    <x v="1"/>
    <s v="North"/>
    <n v="4944.99"/>
    <n v="36"/>
    <s v="Furniture"/>
    <n v="666.84"/>
    <n v="682.24"/>
    <s v="New"/>
    <n v="0.16"/>
    <s v="Bank Transfer"/>
    <s v="Retail"/>
    <s v="North-David"/>
    <x v="8"/>
    <s v="Tuesday"/>
    <n v="20165.241600000001"/>
    <n v="554.39999999999918"/>
    <n v="465.69599999999929"/>
  </r>
  <r>
    <n v="1005"/>
    <d v="2023-03-25T00:00:00"/>
    <x v="0"/>
    <s v="West"/>
    <n v="7442.25"/>
    <n v="14"/>
    <s v="Clothing"/>
    <n v="1861.2"/>
    <n v="2075.35"/>
    <s v="Returning"/>
    <n v="0.1"/>
    <s v="Credit Card"/>
    <s v="Retail"/>
    <s v="West-Bob"/>
    <x v="4"/>
    <s v="Saturday"/>
    <n v="23451.119999999999"/>
    <n v="2998.0999999999981"/>
    <n v="2698.2899999999981"/>
  </r>
  <r>
    <n v="1012"/>
    <d v="2023-11-14T00:00:00"/>
    <x v="1"/>
    <s v="North"/>
    <n v="4976.43"/>
    <n v="14"/>
    <s v="Electronics"/>
    <n v="1185.5"/>
    <n v="1271.45"/>
    <s v="Returning"/>
    <n v="0.03"/>
    <s v="Bank Transfer"/>
    <s v="Retail"/>
    <s v="North-David"/>
    <x v="8"/>
    <s v="Tuesday"/>
    <n v="16099.09"/>
    <n v="1203.3000000000006"/>
    <n v="1167.2010000000005"/>
  </r>
  <r>
    <n v="1090"/>
    <d v="2023-04-21T00:00:00"/>
    <x v="1"/>
    <s v="West"/>
    <n v="4883.49"/>
    <n v="35"/>
    <s v="Electronics"/>
    <n v="1130.5999999999999"/>
    <n v="1466.1799999999901"/>
    <s v="Returning"/>
    <n v="0.13"/>
    <s v="Cash"/>
    <s v="Online"/>
    <s v="West-David"/>
    <x v="1"/>
    <s v="Friday"/>
    <n v="34426.769999999997"/>
    <n v="11745.299999999655"/>
    <n v="10218.4109999997"/>
  </r>
  <r>
    <n v="1046"/>
    <d v="2023-09-08T00:00:00"/>
    <x v="4"/>
    <s v="North"/>
    <n v="8398.48"/>
    <n v="30"/>
    <s v="Furniture"/>
    <n v="320.73"/>
    <n v="678.04"/>
    <s v="Returning"/>
    <n v="0.08"/>
    <s v="Cash"/>
    <s v="Retail"/>
    <s v="North-Alice"/>
    <x v="2"/>
    <s v="Friday"/>
    <n v="8852.148000000001"/>
    <n v="10719.3"/>
    <n v="9861.7559999999994"/>
  </r>
  <r>
    <n v="1034"/>
    <d v="2023-01-07T00:00:00"/>
    <x v="1"/>
    <s v="West"/>
    <n v="3677.9"/>
    <n v="28"/>
    <s v="Furniture"/>
    <n v="137.47"/>
    <n v="234.63"/>
    <s v="New"/>
    <n v="0.27"/>
    <s v="Bank Transfer"/>
    <s v="Retail"/>
    <s v="West-David"/>
    <x v="5"/>
    <s v="Saturday"/>
    <n v="2809.8867999999998"/>
    <n v="2720.48"/>
    <n v="1985.9503999999999"/>
  </r>
  <r>
    <n v="1049"/>
    <d v="2023-03-25T00:00:00"/>
    <x v="3"/>
    <s v="East"/>
    <n v="8611.9699999999993"/>
    <n v="17"/>
    <s v="Electronics"/>
    <n v="558.70000000000005"/>
    <n v="1004.08"/>
    <s v="Returning"/>
    <n v="0.03"/>
    <s v="Credit Card"/>
    <s v="Online"/>
    <s v="East-Eve"/>
    <x v="4"/>
    <s v="Saturday"/>
    <n v="9212.9630000000016"/>
    <n v="7571.46"/>
    <n v="7344.3162000000002"/>
  </r>
  <r>
    <n v="1078"/>
    <d v="2023-07-27T00:00:00"/>
    <x v="3"/>
    <s v="North"/>
    <n v="4127.37"/>
    <n v="3"/>
    <s v="Clothing"/>
    <n v="902.38"/>
    <n v="1128.9100000000001"/>
    <s v="New"/>
    <n v="0.01"/>
    <s v="Bank Transfer"/>
    <s v="Retail"/>
    <s v="North-Eve"/>
    <x v="11"/>
    <s v="Thursday"/>
    <n v="2680.0686000000001"/>
    <n v="679.59000000000026"/>
    <n v="672.7941000000003"/>
  </r>
  <r>
    <n v="1090"/>
    <d v="2023-11-10T00:00:00"/>
    <x v="4"/>
    <s v="North"/>
    <n v="3349.51"/>
    <n v="16"/>
    <s v="Clothing"/>
    <n v="2183.37"/>
    <n v="2263.3599999999901"/>
    <s v="Returning"/>
    <n v="0"/>
    <s v="Bank Transfer"/>
    <s v="Retail"/>
    <s v="North-Alice"/>
    <x v="8"/>
    <s v="Friday"/>
    <n v="34933.919999999998"/>
    <n v="1279.8399999998437"/>
    <n v="1279.8399999998437"/>
  </r>
  <r>
    <n v="1045"/>
    <d v="2023-01-22T00:00:00"/>
    <x v="0"/>
    <s v="East"/>
    <n v="4594.5"/>
    <n v="46"/>
    <s v="Food"/>
    <n v="2577.08"/>
    <n v="2961.56"/>
    <s v="Returning"/>
    <n v="0.1"/>
    <s v="Cash"/>
    <s v="Online"/>
    <s v="East-Bob"/>
    <x v="5"/>
    <s v="Sunday"/>
    <n v="106691.11199999999"/>
    <n v="17686.080000000002"/>
    <n v="15917.472000000002"/>
  </r>
  <r>
    <n v="1027"/>
    <d v="2023-01-03T00:00:00"/>
    <x v="0"/>
    <s v="East"/>
    <n v="7648.22"/>
    <n v="30"/>
    <s v="Furniture"/>
    <n v="745.93"/>
    <n v="1143.02"/>
    <s v="Returning"/>
    <n v="0.2"/>
    <s v="Credit Card"/>
    <s v="Online"/>
    <s v="East-Bob"/>
    <x v="5"/>
    <s v="Tuesday"/>
    <n v="17902.32"/>
    <n v="11912.7"/>
    <n v="9530.1600000000017"/>
  </r>
  <r>
    <n v="1073"/>
    <d v="2023-05-07T00:00:00"/>
    <x v="1"/>
    <s v="North"/>
    <n v="1347.42"/>
    <n v="29"/>
    <s v="Clothing"/>
    <n v="2152.6799999999998"/>
    <n v="2475.9299999999998"/>
    <s v="Returning"/>
    <n v="0.22"/>
    <s v="Bank Transfer"/>
    <s v="Online"/>
    <s v="North-David"/>
    <x v="10"/>
    <s v="Sunday"/>
    <n v="48693.621599999999"/>
    <n v="9374.25"/>
    <n v="7311.915"/>
  </r>
  <r>
    <n v="1026"/>
    <d v="2023-10-24T00:00:00"/>
    <x v="1"/>
    <s v="East"/>
    <n v="2044.55"/>
    <n v="45"/>
    <s v="Food"/>
    <n v="1741.66"/>
    <n v="2169.86"/>
    <s v="Returning"/>
    <n v="0.14000000000000001"/>
    <s v="Credit Card"/>
    <s v="Online"/>
    <s v="East-David"/>
    <x v="7"/>
    <s v="Tuesday"/>
    <n v="67402.241999999998"/>
    <n v="19269.000000000004"/>
    <n v="16571.340000000004"/>
  </r>
  <r>
    <n v="1047"/>
    <d v="2023-07-07T00:00:00"/>
    <x v="1"/>
    <s v="South"/>
    <n v="9519.2999999999993"/>
    <n v="15"/>
    <s v="Clothing"/>
    <n v="957.95"/>
    <n v="1329.26"/>
    <s v="New"/>
    <n v="0.21"/>
    <s v="Cash"/>
    <s v="Online"/>
    <s v="South-David"/>
    <x v="11"/>
    <s v="Friday"/>
    <n v="11351.7075"/>
    <n v="5569.65"/>
    <n v="4400.0235000000002"/>
  </r>
  <r>
    <n v="1086"/>
    <d v="2023-12-28T00:00:00"/>
    <x v="0"/>
    <s v="West"/>
    <n v="1837.37"/>
    <n v="46"/>
    <s v="Furniture"/>
    <n v="83.86"/>
    <n v="526.14"/>
    <s v="Returning"/>
    <n v="0.11"/>
    <s v="Credit Card"/>
    <s v="Online"/>
    <s v="West-Bob"/>
    <x v="9"/>
    <s v="Thursday"/>
    <n v="3433.2284"/>
    <n v="20344.879999999997"/>
    <n v="18106.943199999998"/>
  </r>
  <r>
    <n v="1056"/>
    <d v="2023-01-14T00:00:00"/>
    <x v="2"/>
    <s v="West"/>
    <n v="5720.5"/>
    <n v="25"/>
    <s v="Food"/>
    <n v="2361.7399999999998"/>
    <n v="2584.35"/>
    <s v="Returning"/>
    <n v="0.2"/>
    <s v="Cash"/>
    <s v="Online"/>
    <s v="West-Charlie"/>
    <x v="5"/>
    <s v="Saturday"/>
    <n v="47234.799999999996"/>
    <n v="5565.2500000000036"/>
    <n v="4452.2000000000035"/>
  </r>
  <r>
    <n v="1094"/>
    <d v="2023-01-12T00:00:00"/>
    <x v="3"/>
    <s v="West"/>
    <n v="5835.21"/>
    <n v="38"/>
    <s v="Food"/>
    <n v="3443.98"/>
    <n v="3820.3"/>
    <s v="Returning"/>
    <n v="0.01"/>
    <s v="Credit Card"/>
    <s v="Retail"/>
    <s v="West-Eve"/>
    <x v="5"/>
    <s v="Thursday"/>
    <n v="129562.5276"/>
    <n v="14300.160000000007"/>
    <n v="14157.158400000008"/>
  </r>
  <r>
    <n v="1063"/>
    <d v="2023-03-28T00:00:00"/>
    <x v="2"/>
    <s v="South"/>
    <n v="4947.28"/>
    <n v="42"/>
    <s v="Food"/>
    <n v="1170.07"/>
    <n v="1669.94999999999"/>
    <s v="Returning"/>
    <n v="0.12"/>
    <s v="Bank Transfer"/>
    <s v="Retail"/>
    <s v="South-Charlie"/>
    <x v="4"/>
    <s v="Tuesday"/>
    <n v="43245.787199999999"/>
    <n v="20994.959999999584"/>
    <n v="18475.564799999633"/>
  </r>
  <r>
    <n v="1048"/>
    <d v="2023-01-12T00:00:00"/>
    <x v="2"/>
    <s v="East"/>
    <n v="6482.98"/>
    <n v="47"/>
    <s v="Clothing"/>
    <n v="702.44"/>
    <n v="1067.6600000000001"/>
    <s v="New"/>
    <n v="0.24"/>
    <s v="Cash"/>
    <s v="Retail"/>
    <s v="East-Charlie"/>
    <x v="5"/>
    <s v="Thursday"/>
    <n v="25091.156800000001"/>
    <n v="17165.34"/>
    <n v="13045.6584"/>
  </r>
  <r>
    <n v="1061"/>
    <d v="2023-01-25T00:00:00"/>
    <x v="0"/>
    <s v="East"/>
    <n v="2375.2800000000002"/>
    <n v="38"/>
    <s v="Furniture"/>
    <n v="4440.8599999999997"/>
    <n v="4506.8099999999904"/>
    <s v="Returning"/>
    <n v="0.24"/>
    <s v="Bank Transfer"/>
    <s v="Online"/>
    <s v="East-Bob"/>
    <x v="5"/>
    <s v="Wednesday"/>
    <n v="128252.0368"/>
    <n v="2506.0999999996475"/>
    <n v="1904.6359999997321"/>
  </r>
  <r>
    <n v="1081"/>
    <d v="2023-10-28T00:00:00"/>
    <x v="2"/>
    <s v="North"/>
    <n v="5571.36"/>
    <n v="23"/>
    <s v="Food"/>
    <n v="1411.37"/>
    <n v="1675.35"/>
    <s v="New"/>
    <n v="0.21"/>
    <s v="Cash"/>
    <s v="Retail"/>
    <s v="North-Charlie"/>
    <x v="7"/>
    <s v="Saturday"/>
    <n v="25644.5929"/>
    <n v="6071.5400000000009"/>
    <n v="4796.5166000000008"/>
  </r>
  <r>
    <n v="1026"/>
    <d v="2023-08-31T00:00:00"/>
    <x v="4"/>
    <s v="East"/>
    <n v="3784.52"/>
    <n v="25"/>
    <s v="Electronics"/>
    <n v="1156.8800000000001"/>
    <n v="1454.68"/>
    <s v="Returning"/>
    <n v="0.06"/>
    <s v="Credit Card"/>
    <s v="Online"/>
    <s v="East-Alice"/>
    <x v="3"/>
    <s v="Thursday"/>
    <n v="27186.68"/>
    <n v="7444.9999999999991"/>
    <n v="6998.2999999999984"/>
  </r>
  <r>
    <n v="1036"/>
    <d v="2023-05-02T00:00:00"/>
    <x v="1"/>
    <s v="North"/>
    <n v="6650.51"/>
    <n v="42"/>
    <s v="Furniture"/>
    <n v="4292.63"/>
    <n v="4387.99"/>
    <s v="New"/>
    <n v="7.0000000000000007E-2"/>
    <s v="Credit Card"/>
    <s v="Retail"/>
    <s v="North-David"/>
    <x v="10"/>
    <s v="Tuesday"/>
    <n v="167670.12779999999"/>
    <n v="4005.1199999999862"/>
    <n v="3724.7615999999871"/>
  </r>
  <r>
    <n v="1001"/>
    <d v="2023-05-27T00:00:00"/>
    <x v="4"/>
    <s v="South"/>
    <n v="1498.11"/>
    <n v="7"/>
    <s v="Electronics"/>
    <n v="4094.68"/>
    <n v="4576.5"/>
    <s v="New"/>
    <n v="0.3"/>
    <s v="Cash"/>
    <s v="Retail"/>
    <s v="South-Alice"/>
    <x v="10"/>
    <s v="Saturday"/>
    <n v="20063.931999999997"/>
    <n v="3372.7400000000011"/>
    <n v="2360.9180000000006"/>
  </r>
  <r>
    <n v="1008"/>
    <d v="2023-02-24T00:00:00"/>
    <x v="3"/>
    <s v="West"/>
    <n v="5751.69"/>
    <n v="22"/>
    <s v="Electronics"/>
    <n v="2269.3200000000002"/>
    <n v="2365.35"/>
    <s v="New"/>
    <n v="0.03"/>
    <s v="Cash"/>
    <s v="Retail"/>
    <s v="West-Eve"/>
    <x v="0"/>
    <s v="Friday"/>
    <n v="48427.288800000002"/>
    <n v="2112.6599999999944"/>
    <n v="2049.2801999999947"/>
  </r>
  <r>
    <n v="1099"/>
    <d v="2023-08-26T00:00:00"/>
    <x v="1"/>
    <s v="West"/>
    <n v="1934.18"/>
    <n v="17"/>
    <s v="Food"/>
    <n v="2471.73"/>
    <n v="2568.73"/>
    <s v="New"/>
    <n v="0.05"/>
    <s v="Cash"/>
    <s v="Retail"/>
    <s v="West-David"/>
    <x v="3"/>
    <s v="Saturday"/>
    <n v="39918.4395"/>
    <n v="1649"/>
    <n v="1566.55"/>
  </r>
  <r>
    <n v="1052"/>
    <d v="2023-12-22T00:00:00"/>
    <x v="2"/>
    <s v="West"/>
    <n v="2858.57"/>
    <n v="18"/>
    <s v="Food"/>
    <n v="1127.8599999999999"/>
    <n v="1586.29"/>
    <s v="New"/>
    <n v="0.04"/>
    <s v="Credit Card"/>
    <s v="Online"/>
    <s v="West-Charlie"/>
    <x v="9"/>
    <s v="Friday"/>
    <n v="19489.4208"/>
    <n v="8251.7400000000016"/>
    <n v="7921.6704000000009"/>
  </r>
  <r>
    <n v="1079"/>
    <d v="2023-06-22T00:00:00"/>
    <x v="3"/>
    <s v="East"/>
    <n v="2265.23"/>
    <n v="49"/>
    <s v="Clothing"/>
    <n v="437.59"/>
    <n v="675.54"/>
    <s v="Returning"/>
    <n v="0.1"/>
    <s v="Cash"/>
    <s v="Online"/>
    <s v="East-Eve"/>
    <x v="6"/>
    <s v="Thursday"/>
    <n v="19297.719000000001"/>
    <n v="11659.55"/>
    <n v="10493.594999999999"/>
  </r>
  <r>
    <n v="1047"/>
    <d v="2023-08-09T00:00:00"/>
    <x v="1"/>
    <s v="North"/>
    <n v="1910.09"/>
    <n v="41"/>
    <s v="Clothing"/>
    <n v="2888.49"/>
    <n v="2929.45"/>
    <s v="New"/>
    <n v="0.06"/>
    <s v="Cash"/>
    <s v="Retail"/>
    <s v="North-David"/>
    <x v="3"/>
    <s v="Wednesday"/>
    <n v="111322.40459999999"/>
    <n v="1679.3600000000015"/>
    <n v="1578.5984000000012"/>
  </r>
  <r>
    <n v="1056"/>
    <d v="2023-04-29T00:00:00"/>
    <x v="2"/>
    <s v="North"/>
    <n v="8274.5400000000009"/>
    <n v="10"/>
    <s v="Clothing"/>
    <n v="536.80999999999995"/>
    <n v="839.92"/>
    <s v="Returning"/>
    <n v="0.15"/>
    <s v="Bank Transfer"/>
    <s v="Online"/>
    <s v="North-Charlie"/>
    <x v="1"/>
    <s v="Saturday"/>
    <n v="4562.8849999999993"/>
    <n v="3031.1000000000004"/>
    <n v="2576.4350000000004"/>
  </r>
  <r>
    <n v="1086"/>
    <d v="2023-11-05T00:00:00"/>
    <x v="4"/>
    <s v="South"/>
    <n v="2928.5"/>
    <n v="10"/>
    <s v="Furniture"/>
    <n v="2273.91"/>
    <n v="2578.7999999999902"/>
    <s v="New"/>
    <n v="0.14000000000000001"/>
    <s v="Cash"/>
    <s v="Online"/>
    <s v="South-Alice"/>
    <x v="8"/>
    <s v="Sunday"/>
    <n v="19555.626"/>
    <n v="3048.8999999999032"/>
    <n v="2622.0539999999169"/>
  </r>
  <r>
    <n v="1014"/>
    <d v="2023-07-02T00:00:00"/>
    <x v="1"/>
    <s v="East"/>
    <n v="9278.5300000000007"/>
    <n v="7"/>
    <s v="Clothing"/>
    <n v="4705.46"/>
    <n v="4747.07"/>
    <s v="New"/>
    <n v="0.27"/>
    <s v="Bank Transfer"/>
    <s v="Retail"/>
    <s v="East-David"/>
    <x v="11"/>
    <s v="Sunday"/>
    <n v="24044.900600000001"/>
    <n v="291.26999999999771"/>
    <n v="212.62709999999831"/>
  </r>
  <r>
    <n v="1090"/>
    <d v="2023-10-15T00:00:00"/>
    <x v="2"/>
    <s v="South"/>
    <n v="9702.27"/>
    <n v="48"/>
    <s v="Electronics"/>
    <n v="4766.53"/>
    <n v="5253.07"/>
    <s v="Returning"/>
    <n v="0.01"/>
    <s v="Bank Transfer"/>
    <s v="Online"/>
    <s v="South-Charlie"/>
    <x v="7"/>
    <s v="Sunday"/>
    <n v="226505.5056"/>
    <n v="23353.919999999998"/>
    <n v="23120.380799999999"/>
  </r>
  <r>
    <n v="1028"/>
    <d v="2023-11-03T00:00:00"/>
    <x v="4"/>
    <s v="North"/>
    <n v="5755.48"/>
    <n v="38"/>
    <s v="Clothing"/>
    <n v="1234.69"/>
    <n v="1511.26"/>
    <s v="New"/>
    <n v="0.1"/>
    <s v="Bank Transfer"/>
    <s v="Online"/>
    <s v="North-Alice"/>
    <x v="8"/>
    <s v="Friday"/>
    <n v="42226.398000000001"/>
    <n v="10509.659999999998"/>
    <n v="9458.6939999999977"/>
  </r>
  <r>
    <n v="1087"/>
    <d v="2023-10-27T00:00:00"/>
    <x v="3"/>
    <s v="North"/>
    <n v="1515.71"/>
    <n v="27"/>
    <s v="Food"/>
    <n v="3139.36"/>
    <n v="3423.66"/>
    <s v="New"/>
    <n v="0.18"/>
    <s v="Credit Card"/>
    <s v="Online"/>
    <s v="North-Eve"/>
    <x v="7"/>
    <s v="Friday"/>
    <n v="69505.430400000012"/>
    <n v="7676.0999999999931"/>
    <n v="6294.4019999999946"/>
  </r>
  <r>
    <n v="1078"/>
    <d v="2023-03-23T00:00:00"/>
    <x v="3"/>
    <s v="West"/>
    <n v="3808.03"/>
    <n v="33"/>
    <s v="Clothing"/>
    <n v="2396.6799999999998"/>
    <n v="2661.54"/>
    <s v="New"/>
    <n v="0.18"/>
    <s v="Bank Transfer"/>
    <s v="Online"/>
    <s v="West-Eve"/>
    <x v="4"/>
    <s v="Thursday"/>
    <n v="64854.160799999998"/>
    <n v="8740.3800000000047"/>
    <n v="7167.1116000000047"/>
  </r>
  <r>
    <n v="1088"/>
    <d v="2023-07-30T00:00:00"/>
    <x v="3"/>
    <s v="East"/>
    <n v="7997.55"/>
    <n v="1"/>
    <s v="Furniture"/>
    <n v="4384.6400000000003"/>
    <n v="4693.8999999999996"/>
    <s v="New"/>
    <n v="0.14000000000000001"/>
    <s v="Cash"/>
    <s v="Retail"/>
    <s v="East-Eve"/>
    <x v="11"/>
    <s v="Sunday"/>
    <n v="3770.7904000000003"/>
    <n v="309.25999999999931"/>
    <n v="265.96359999999942"/>
  </r>
  <r>
    <n v="1002"/>
    <d v="2023-05-30T00:00:00"/>
    <x v="3"/>
    <s v="North"/>
    <n v="3737.17"/>
    <n v="44"/>
    <s v="Furniture"/>
    <n v="1393.58"/>
    <n v="1533.09"/>
    <s v="Returning"/>
    <n v="0.24"/>
    <s v="Credit Card"/>
    <s v="Retail"/>
    <s v="North-Eve"/>
    <x v="10"/>
    <s v="Tuesday"/>
    <n v="46601.315199999997"/>
    <n v="6138.44"/>
    <n v="4665.2143999999998"/>
  </r>
  <r>
    <n v="1026"/>
    <d v="2023-02-06T00:00:00"/>
    <x v="0"/>
    <s v="West"/>
    <n v="961.47"/>
    <n v="34"/>
    <s v="Electronics"/>
    <n v="68.33"/>
    <n v="219.07999999999899"/>
    <s v="New"/>
    <n v="0.02"/>
    <s v="Credit Card"/>
    <s v="Online"/>
    <s v="West-Bob"/>
    <x v="0"/>
    <s v="Monday"/>
    <n v="2276.7556"/>
    <n v="5125.4999999999654"/>
    <n v="5022.9899999999661"/>
  </r>
  <r>
    <n v="1014"/>
    <d v="2023-12-18T00:00:00"/>
    <x v="1"/>
    <s v="East"/>
    <n v="5612.17"/>
    <n v="4"/>
    <s v="Furniture"/>
    <n v="854.68"/>
    <n v="1115.24"/>
    <s v="New"/>
    <n v="0.24"/>
    <s v="Credit Card"/>
    <s v="Retail"/>
    <s v="East-David"/>
    <x v="9"/>
    <s v="Monday"/>
    <n v="2598.2271999999998"/>
    <n v="1042.2400000000002"/>
    <n v="792.10240000000022"/>
  </r>
  <r>
    <n v="1059"/>
    <d v="2023-11-08T00:00:00"/>
    <x v="1"/>
    <s v="South"/>
    <n v="8466.7000000000007"/>
    <n v="17"/>
    <s v="Clothing"/>
    <n v="1780.14"/>
    <n v="2185.42"/>
    <s v="Returning"/>
    <n v="0.15"/>
    <s v="Credit Card"/>
    <s v="Retail"/>
    <s v="South-David"/>
    <x v="8"/>
    <s v="Wednesday"/>
    <n v="25723.023000000001"/>
    <n v="6889.7599999999993"/>
    <n v="5856.2959999999994"/>
  </r>
  <r>
    <n v="1056"/>
    <d v="2023-12-27T00:00:00"/>
    <x v="0"/>
    <s v="East"/>
    <n v="7979.67"/>
    <n v="4"/>
    <s v="Food"/>
    <n v="1612.82"/>
    <n v="1647.25"/>
    <s v="Returning"/>
    <n v="0.04"/>
    <s v="Credit Card"/>
    <s v="Retail"/>
    <s v="East-Bob"/>
    <x v="9"/>
    <s v="Wednesday"/>
    <n v="6193.2287999999999"/>
    <n v="137.72000000000025"/>
    <n v="132.21120000000025"/>
  </r>
  <r>
    <n v="1007"/>
    <d v="2023-02-28T00:00:00"/>
    <x v="2"/>
    <s v="East"/>
    <n v="1833.72"/>
    <n v="43"/>
    <s v="Furniture"/>
    <n v="3967.25"/>
    <n v="4272.92"/>
    <s v="New"/>
    <n v="0.27"/>
    <s v="Credit Card"/>
    <s v="Online"/>
    <s v="East-Charlie"/>
    <x v="0"/>
    <s v="Tuesday"/>
    <n v="124531.97749999999"/>
    <n v="13143.810000000003"/>
    <n v="9594.9813000000013"/>
  </r>
  <r>
    <n v="1003"/>
    <d v="2023-05-11T00:00:00"/>
    <x v="2"/>
    <s v="North"/>
    <n v="6760.37"/>
    <n v="26"/>
    <s v="Electronics"/>
    <n v="3418.78"/>
    <n v="3824.1"/>
    <s v="New"/>
    <n v="0.19"/>
    <s v="Credit Card"/>
    <s v="Online"/>
    <s v="North-Charlie"/>
    <x v="10"/>
    <s v="Thursday"/>
    <n v="71999.506800000003"/>
    <n v="10538.319999999992"/>
    <n v="8536.0391999999938"/>
  </r>
  <r>
    <n v="1023"/>
    <d v="2023-07-21T00:00:00"/>
    <x v="3"/>
    <s v="North"/>
    <n v="2282.9899999999998"/>
    <n v="4"/>
    <s v="Clothing"/>
    <n v="1532.8"/>
    <n v="1619.69"/>
    <s v="Returning"/>
    <n v="0.05"/>
    <s v="Bank Transfer"/>
    <s v="Retail"/>
    <s v="North-Eve"/>
    <x v="11"/>
    <s v="Friday"/>
    <n v="5824.6399999999994"/>
    <n v="347.5600000000004"/>
    <n v="330.18200000000036"/>
  </r>
  <r>
    <n v="1018"/>
    <d v="2023-08-31T00:00:00"/>
    <x v="4"/>
    <s v="East"/>
    <n v="2260.25"/>
    <n v="1"/>
    <s v="Electronics"/>
    <n v="2315.83"/>
    <n v="2333.19"/>
    <s v="New"/>
    <n v="0.01"/>
    <s v="Cash"/>
    <s v="Retail"/>
    <s v="East-Alice"/>
    <x v="3"/>
    <s v="Thursday"/>
    <n v="2292.6716999999999"/>
    <n v="17.360000000000127"/>
    <n v="17.186400000000127"/>
  </r>
  <r>
    <n v="1038"/>
    <d v="2023-02-04T00:00:00"/>
    <x v="2"/>
    <s v="North"/>
    <n v="8753.31"/>
    <n v="7"/>
    <s v="Furniture"/>
    <n v="523.02"/>
    <n v="686.25"/>
    <s v="Returning"/>
    <n v="0.04"/>
    <s v="Cash"/>
    <s v="Online"/>
    <s v="North-Charlie"/>
    <x v="0"/>
    <s v="Saturday"/>
    <n v="3514.6943999999999"/>
    <n v="1142.6100000000001"/>
    <n v="1096.9056"/>
  </r>
  <r>
    <n v="1099"/>
    <d v="2023-04-03T00:00:00"/>
    <x v="4"/>
    <s v="North"/>
    <n v="2571.7199999999998"/>
    <n v="30"/>
    <s v="Furniture"/>
    <n v="4495.82"/>
    <n v="4794.0099999999902"/>
    <s v="New"/>
    <n v="0.18"/>
    <s v="Bank Transfer"/>
    <s v="Retail"/>
    <s v="North-Alice"/>
    <x v="1"/>
    <s v="Monday"/>
    <n v="110597.17199999999"/>
    <n v="8945.6999999997151"/>
    <n v="7335.4739999997673"/>
  </r>
  <r>
    <n v="1015"/>
    <d v="2023-07-26T00:00:00"/>
    <x v="1"/>
    <s v="North"/>
    <n v="2706.15"/>
    <n v="9"/>
    <s v="Electronics"/>
    <n v="4680.3500000000004"/>
    <n v="4758.1099999999997"/>
    <s v="Returning"/>
    <n v="0.05"/>
    <s v="Bank Transfer"/>
    <s v="Online"/>
    <s v="North-David"/>
    <x v="11"/>
    <s v="Wednesday"/>
    <n v="40016.9925"/>
    <n v="699.83999999999378"/>
    <n v="664.84799999999404"/>
  </r>
  <r>
    <n v="1064"/>
    <d v="2023-12-19T00:00:00"/>
    <x v="4"/>
    <s v="West"/>
    <n v="106.47"/>
    <n v="35"/>
    <s v="Clothing"/>
    <n v="4900.03"/>
    <n v="5118.83"/>
    <s v="Returning"/>
    <n v="7.0000000000000007E-2"/>
    <s v="Credit Card"/>
    <s v="Retail"/>
    <s v="West-Alice"/>
    <x v="9"/>
    <s v="Tuesday"/>
    <n v="159495.97649999999"/>
    <n v="7658.0000000000064"/>
    <n v="7121.9400000000051"/>
  </r>
  <r>
    <n v="1089"/>
    <d v="2023-11-28T00:00:00"/>
    <x v="1"/>
    <s v="West"/>
    <n v="8719.6200000000008"/>
    <n v="8"/>
    <s v="Furniture"/>
    <n v="4349.34"/>
    <n v="4629.9799999999996"/>
    <s v="Returning"/>
    <n v="0.01"/>
    <s v="Credit Card"/>
    <s v="Online"/>
    <s v="West-David"/>
    <x v="8"/>
    <s v="Tuesday"/>
    <n v="34446.772799999999"/>
    <n v="2245.1199999999953"/>
    <n v="2222.6687999999954"/>
  </r>
  <r>
    <n v="1028"/>
    <d v="2023-11-01T00:00:00"/>
    <x v="0"/>
    <s v="East"/>
    <n v="7946.69"/>
    <n v="24"/>
    <s v="Food"/>
    <n v="911.11"/>
    <n v="1214.56"/>
    <s v="New"/>
    <n v="0.22"/>
    <s v="Bank Transfer"/>
    <s v="Online"/>
    <s v="East-Bob"/>
    <x v="8"/>
    <s v="Wednesday"/>
    <n v="17055.979200000002"/>
    <n v="7282.7999999999984"/>
    <n v="5680.5839999999989"/>
  </r>
  <r>
    <n v="1074"/>
    <d v="2023-12-16T00:00:00"/>
    <x v="0"/>
    <s v="North"/>
    <n v="6310.56"/>
    <n v="19"/>
    <s v="Furniture"/>
    <n v="278.67"/>
    <n v="423.13"/>
    <s v="New"/>
    <n v="0.24"/>
    <s v="Credit Card"/>
    <s v="Online"/>
    <s v="North-Bob"/>
    <x v="9"/>
    <s v="Saturday"/>
    <n v="4023.9948000000004"/>
    <n v="2744.74"/>
    <n v="2086.0023999999999"/>
  </r>
  <r>
    <n v="1039"/>
    <d v="2023-08-01T00:00:00"/>
    <x v="3"/>
    <s v="West"/>
    <n v="7527.63"/>
    <n v="36"/>
    <s v="Clothing"/>
    <n v="2919"/>
    <n v="3125.01"/>
    <s v="New"/>
    <n v="0.24"/>
    <s v="Cash"/>
    <s v="Online"/>
    <s v="West-Eve"/>
    <x v="3"/>
    <s v="Tuesday"/>
    <n v="79863.839999999997"/>
    <n v="7416.3600000000079"/>
    <n v="5636.4336000000058"/>
  </r>
  <r>
    <n v="1057"/>
    <d v="2023-06-08T00:00:00"/>
    <x v="2"/>
    <s v="East"/>
    <n v="1605.28"/>
    <n v="43"/>
    <s v="Furniture"/>
    <n v="4567.3900000000003"/>
    <n v="4958.78"/>
    <s v="New"/>
    <n v="0.04"/>
    <s v="Cash"/>
    <s v="Retail"/>
    <s v="East-Charlie"/>
    <x v="6"/>
    <s v="Thursday"/>
    <n v="188541.85920000001"/>
    <n v="16829.769999999975"/>
    <n v="16156.579199999975"/>
  </r>
  <r>
    <n v="1017"/>
    <d v="2023-01-24T00:00:00"/>
    <x v="3"/>
    <s v="North"/>
    <n v="4637.3999999999996"/>
    <n v="27"/>
    <s v="Electronics"/>
    <n v="927.89"/>
    <n v="1399.09"/>
    <s v="Returning"/>
    <n v="0.27"/>
    <s v="Credit Card"/>
    <s v="Online"/>
    <s v="North-Eve"/>
    <x v="5"/>
    <s v="Tuesday"/>
    <n v="18288.711899999998"/>
    <n v="12722.399999999998"/>
    <n v="9287.351999999999"/>
  </r>
  <r>
    <n v="1086"/>
    <d v="2023-10-20T00:00:00"/>
    <x v="1"/>
    <s v="South"/>
    <n v="3577.07"/>
    <n v="32"/>
    <s v="Furniture"/>
    <n v="84.86"/>
    <n v="517.17999999999995"/>
    <s v="Returning"/>
    <n v="0.2"/>
    <s v="Credit Card"/>
    <s v="Retail"/>
    <s v="South-David"/>
    <x v="7"/>
    <s v="Friday"/>
    <n v="2172.4160000000002"/>
    <n v="13834.239999999998"/>
    <n v="11067.392"/>
  </r>
  <r>
    <n v="1090"/>
    <d v="2023-01-04T00:00:00"/>
    <x v="3"/>
    <s v="North"/>
    <n v="1028.3900000000001"/>
    <n v="14"/>
    <s v="Furniture"/>
    <n v="4037.21"/>
    <n v="4323.71"/>
    <s v="Returning"/>
    <n v="0.27"/>
    <s v="Credit Card"/>
    <s v="Online"/>
    <s v="North-Eve"/>
    <x v="5"/>
    <s v="Wednesday"/>
    <n v="41260.286200000002"/>
    <n v="4011"/>
    <n v="2928.0299999999997"/>
  </r>
  <r>
    <n v="1044"/>
    <d v="2023-08-08T00:00:00"/>
    <x v="4"/>
    <s v="North"/>
    <n v="4912.6899999999996"/>
    <n v="18"/>
    <s v="Clothing"/>
    <n v="430.14"/>
    <n v="641.17999999999995"/>
    <s v="New"/>
    <n v="0.13"/>
    <s v="Cash"/>
    <s v="Online"/>
    <s v="North-Alice"/>
    <x v="3"/>
    <s v="Tuesday"/>
    <n v="6735.9923999999992"/>
    <n v="3798.7199999999993"/>
    <n v="3304.8863999999994"/>
  </r>
  <r>
    <n v="1025"/>
    <d v="2023-12-30T00:00:00"/>
    <x v="1"/>
    <s v="West"/>
    <n v="9215.32"/>
    <n v="28"/>
    <s v="Electronics"/>
    <n v="2097.84"/>
    <n v="2270.9899999999998"/>
    <s v="New"/>
    <n v="0.13"/>
    <s v="Credit Card"/>
    <s v="Retail"/>
    <s v="West-David"/>
    <x v="9"/>
    <s v="Saturday"/>
    <n v="51103.382400000002"/>
    <n v="4848.1999999999898"/>
    <n v="4217.9339999999911"/>
  </r>
  <r>
    <n v="1017"/>
    <d v="2023-01-20T00:00:00"/>
    <x v="0"/>
    <s v="East"/>
    <n v="496.59"/>
    <n v="29"/>
    <s v="Clothing"/>
    <n v="3410.49"/>
    <n v="3481.72"/>
    <s v="New"/>
    <n v="0.24"/>
    <s v="Bank Transfer"/>
    <s v="Retail"/>
    <s v="East-Bob"/>
    <x v="5"/>
    <s v="Friday"/>
    <n v="75167.199599999993"/>
    <n v="2065.6700000000005"/>
    <n v="1569.9092000000005"/>
  </r>
  <r>
    <n v="1013"/>
    <d v="2023-06-01T00:00:00"/>
    <x v="2"/>
    <s v="East"/>
    <n v="2985.46"/>
    <n v="16"/>
    <s v="Furniture"/>
    <n v="1222.1500000000001"/>
    <n v="1284.3599999999999"/>
    <s v="Returning"/>
    <n v="0.03"/>
    <s v="Credit Card"/>
    <s v="Retail"/>
    <s v="East-Charlie"/>
    <x v="6"/>
    <s v="Thursday"/>
    <n v="18967.768"/>
    <n v="995.35999999999694"/>
    <n v="965.49919999999702"/>
  </r>
  <r>
    <n v="1084"/>
    <d v="2023-02-19T00:00:00"/>
    <x v="1"/>
    <s v="West"/>
    <n v="2154.66"/>
    <n v="35"/>
    <s v="Food"/>
    <n v="465.61"/>
    <n v="812.91"/>
    <s v="New"/>
    <n v="0.16"/>
    <s v="Bank Transfer"/>
    <s v="Online"/>
    <s v="West-David"/>
    <x v="0"/>
    <s v="Sunday"/>
    <n v="13688.933999999999"/>
    <n v="12155.499999999998"/>
    <n v="10210.619999999999"/>
  </r>
  <r>
    <n v="1025"/>
    <d v="2023-06-26T00:00:00"/>
    <x v="1"/>
    <s v="North"/>
    <n v="2457.65"/>
    <n v="47"/>
    <s v="Furniture"/>
    <n v="3861.61"/>
    <n v="3998.91"/>
    <s v="New"/>
    <n v="0.25"/>
    <s v="Credit Card"/>
    <s v="Online"/>
    <s v="North-David"/>
    <x v="6"/>
    <s v="Monday"/>
    <n v="136121.7525"/>
    <n v="6453.0999999999876"/>
    <n v="4839.8249999999907"/>
  </r>
  <r>
    <n v="1068"/>
    <d v="2023-04-06T00:00:00"/>
    <x v="4"/>
    <s v="South"/>
    <n v="9093.5"/>
    <n v="31"/>
    <s v="Clothing"/>
    <n v="3169.37"/>
    <n v="3304.15"/>
    <s v="Returning"/>
    <n v="0.25"/>
    <s v="Credit Card"/>
    <s v="Retail"/>
    <s v="South-Alice"/>
    <x v="1"/>
    <s v="Thursday"/>
    <n v="73687.852500000008"/>
    <n v="4178.1800000000057"/>
    <n v="3133.6350000000043"/>
  </r>
  <r>
    <n v="1010"/>
    <d v="2023-04-15T00:00:00"/>
    <x v="2"/>
    <s v="North"/>
    <n v="4733.88"/>
    <n v="4"/>
    <s v="Food"/>
    <n v="4943.03"/>
    <n v="5442.15"/>
    <s v="Returning"/>
    <n v="0.28999999999999998"/>
    <s v="Cash"/>
    <s v="Online"/>
    <s v="North-Charlie"/>
    <x v="1"/>
    <s v="Saturday"/>
    <n v="14038.205199999999"/>
    <n v="1996.4799999999996"/>
    <n v="1417.5007999999996"/>
  </r>
  <r>
    <n v="1067"/>
    <d v="2023-09-07T00:00:00"/>
    <x v="0"/>
    <s v="North"/>
    <n v="4716.3599999999997"/>
    <n v="37"/>
    <s v="Clothing"/>
    <n v="1754.32"/>
    <n v="1856.3999999999901"/>
    <s v="New"/>
    <n v="0.21"/>
    <s v="Bank Transfer"/>
    <s v="Retail"/>
    <s v="North-Bob"/>
    <x v="2"/>
    <s v="Thursday"/>
    <n v="51278.7736"/>
    <n v="3776.9599999996353"/>
    <n v="2983.7983999997118"/>
  </r>
  <r>
    <n v="1018"/>
    <d v="2023-04-27T00:00:00"/>
    <x v="1"/>
    <s v="South"/>
    <n v="7629.7"/>
    <n v="17"/>
    <s v="Clothing"/>
    <n v="355.72"/>
    <n v="438.27"/>
    <s v="Returning"/>
    <n v="0.06"/>
    <s v="Bank Transfer"/>
    <s v="Online"/>
    <s v="South-David"/>
    <x v="1"/>
    <s v="Thursday"/>
    <n v="5684.4056"/>
    <n v="1403.3499999999992"/>
    <n v="1319.1489999999992"/>
  </r>
  <r>
    <n v="1100"/>
    <d v="2023-12-20T00:00:00"/>
    <x v="1"/>
    <s v="West"/>
    <n v="1629.47"/>
    <n v="39"/>
    <s v="Electronics"/>
    <n v="3685.03"/>
    <n v="3743.39"/>
    <s v="New"/>
    <n v="0.01"/>
    <s v="Bank Transfer"/>
    <s v="Online"/>
    <s v="West-David"/>
    <x v="9"/>
    <s v="Wednesday"/>
    <n v="142279.00830000002"/>
    <n v="2276.0399999999872"/>
    <n v="2253.2795999999871"/>
  </r>
  <r>
    <n v="1086"/>
    <d v="2023-08-16T00:00:00"/>
    <x v="4"/>
    <s v="East"/>
    <n v="4923.93"/>
    <n v="48"/>
    <s v="Food"/>
    <n v="2632.58"/>
    <n v="2926.68"/>
    <s v="Returning"/>
    <n v="0.14000000000000001"/>
    <s v="Cash"/>
    <s v="Online"/>
    <s v="East-Alice"/>
    <x v="3"/>
    <s v="Wednesday"/>
    <n v="108672.90239999999"/>
    <n v="14116.799999999996"/>
    <n v="12140.44799999999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E757AFD7-D755-4A36-A694-EFEED696AB8B}" sourceName="Days">
  <data>
    <tabular pivotCacheId="1750975107">
      <items count="7">
        <i x="5"/>
        <i x="4"/>
        <i x="3" s="1"/>
        <i x="6"/>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41506F0-23D5-4EF1-8409-AB5C1F352F9F}" sourceName="Months">
  <data>
    <tabular pivotCacheId="731717638">
      <items count="12">
        <i x="5"/>
        <i x="0"/>
        <i x="4"/>
        <i x="1"/>
        <i x="10"/>
        <i x="6"/>
        <i x="11"/>
        <i x="3" s="1"/>
        <i x="2"/>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A4BEB790-72D9-46CA-8C64-5B63ABB93A02}" cache="Slicer_Days" caption="Days" style="SlicerStyleDark1" rowHeight="234950"/>
  <slicer name="Months" xr10:uid="{D2C88379-FA9E-4245-B007-832319A93595}" cache="Slicer_Months" caption="Months" startItem="5"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2E2C-19B2-4655-867F-5DD440F3B6F1}">
  <dimension ref="B8:B30"/>
  <sheetViews>
    <sheetView topLeftCell="A13" workbookViewId="0">
      <selection activeCell="E7" sqref="E7"/>
    </sheetView>
  </sheetViews>
  <sheetFormatPr defaultRowHeight="14.4" x14ac:dyDescent="0.3"/>
  <cols>
    <col min="1" max="16384" width="8.88671875" style="3"/>
  </cols>
  <sheetData>
    <row r="8" ht="20.399999999999999" customHeight="1" x14ac:dyDescent="0.3"/>
    <row r="13" s="3" customFormat="1" ht="12.6" customHeight="1" x14ac:dyDescent="0.3"/>
    <row r="29" spans="2:2" x14ac:dyDescent="0.3">
      <c r="B29" s="3" t="e">
        <f>[1]Pivot!K27</f>
        <v>#REF!</v>
      </c>
    </row>
    <row r="30" spans="2:2" ht="10.8"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0C4AF-9A26-4F2E-B96A-803E38E5519A}">
  <dimension ref="A1:S1001"/>
  <sheetViews>
    <sheetView tabSelected="1" workbookViewId="0">
      <selection activeCell="B978" sqref="B978"/>
    </sheetView>
  </sheetViews>
  <sheetFormatPr defaultRowHeight="14.4" x14ac:dyDescent="0.3"/>
  <cols>
    <col min="2" max="2" width="10.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s="2" t="s">
        <v>55</v>
      </c>
      <c r="P1" s="2" t="s">
        <v>56</v>
      </c>
      <c r="Q1" s="2" t="s">
        <v>54</v>
      </c>
      <c r="R1" s="2" t="s">
        <v>57</v>
      </c>
      <c r="S1" s="2" t="s">
        <v>58</v>
      </c>
    </row>
    <row r="2" spans="1:19" x14ac:dyDescent="0.3">
      <c r="A2">
        <v>1052</v>
      </c>
      <c r="B2" s="1">
        <v>44960</v>
      </c>
      <c r="C2" t="s">
        <v>14</v>
      </c>
      <c r="D2" t="s">
        <v>15</v>
      </c>
      <c r="E2">
        <v>5053.97</v>
      </c>
      <c r="F2">
        <v>18</v>
      </c>
      <c r="G2" t="s">
        <v>16</v>
      </c>
      <c r="H2">
        <v>152.75</v>
      </c>
      <c r="I2">
        <v>267.22000000000003</v>
      </c>
      <c r="J2" t="s">
        <v>17</v>
      </c>
      <c r="K2">
        <v>0.09</v>
      </c>
      <c r="L2" t="s">
        <v>18</v>
      </c>
      <c r="M2" t="s">
        <v>19</v>
      </c>
      <c r="N2" t="s">
        <v>20</v>
      </c>
      <c r="O2" t="str">
        <f>TEXT(B2,"mmm")</f>
        <v>Feb</v>
      </c>
      <c r="P2" t="str">
        <f>TEXT(B2,"dddd")</f>
        <v>Friday</v>
      </c>
      <c r="Q2">
        <f>(F2*H2)*(1-K2)</f>
        <v>2502.0450000000001</v>
      </c>
      <c r="R2">
        <f>(I2-H2)*F2</f>
        <v>2060.4600000000005</v>
      </c>
      <c r="S2">
        <f>((I2-H2)*F2)*(1-K2)</f>
        <v>1875.0186000000006</v>
      </c>
    </row>
    <row r="3" spans="1:19" x14ac:dyDescent="0.3">
      <c r="A3">
        <v>1093</v>
      </c>
      <c r="B3" s="1">
        <v>45037</v>
      </c>
      <c r="C3" t="s">
        <v>14</v>
      </c>
      <c r="D3" t="s">
        <v>21</v>
      </c>
      <c r="E3">
        <v>4384.0200000000004</v>
      </c>
      <c r="F3">
        <v>17</v>
      </c>
      <c r="G3" t="s">
        <v>16</v>
      </c>
      <c r="H3">
        <v>3816.39</v>
      </c>
      <c r="I3">
        <v>4209.4399999999996</v>
      </c>
      <c r="J3" t="s">
        <v>17</v>
      </c>
      <c r="K3">
        <v>0.11</v>
      </c>
      <c r="L3" t="s">
        <v>18</v>
      </c>
      <c r="M3" t="s">
        <v>22</v>
      </c>
      <c r="N3" t="s">
        <v>23</v>
      </c>
      <c r="O3" t="str">
        <f t="shared" ref="O3:O66" si="0">TEXT(B3,"mmm")</f>
        <v>Apr</v>
      </c>
      <c r="P3" t="str">
        <f t="shared" ref="P3:P66" si="1">TEXT(B3,"dddd")</f>
        <v>Friday</v>
      </c>
      <c r="Q3">
        <f t="shared" ref="Q3:Q66" si="2">(F3*H3)*(1-K3)</f>
        <v>57741.9807</v>
      </c>
      <c r="R3">
        <f t="shared" ref="R3:R66" si="3">(I3-H3)*F3</f>
        <v>6681.8499999999949</v>
      </c>
      <c r="S3">
        <f t="shared" ref="S3:S66" si="4">((I3-H3)*F3)*(1-K3)</f>
        <v>5946.8464999999951</v>
      </c>
    </row>
    <row r="4" spans="1:19" x14ac:dyDescent="0.3">
      <c r="A4">
        <v>1015</v>
      </c>
      <c r="B4" s="1">
        <v>45190</v>
      </c>
      <c r="C4" t="s">
        <v>24</v>
      </c>
      <c r="D4" t="s">
        <v>25</v>
      </c>
      <c r="E4">
        <v>4631.2299999999996</v>
      </c>
      <c r="F4">
        <v>30</v>
      </c>
      <c r="G4" t="s">
        <v>26</v>
      </c>
      <c r="H4">
        <v>261.56</v>
      </c>
      <c r="I4">
        <v>371.4</v>
      </c>
      <c r="J4" t="s">
        <v>17</v>
      </c>
      <c r="K4">
        <v>0.2</v>
      </c>
      <c r="L4" t="s">
        <v>27</v>
      </c>
      <c r="M4" t="s">
        <v>22</v>
      </c>
      <c r="N4" t="s">
        <v>28</v>
      </c>
      <c r="O4" t="str">
        <f t="shared" si="0"/>
        <v>Sep</v>
      </c>
      <c r="P4" t="str">
        <f t="shared" si="1"/>
        <v>Thursday</v>
      </c>
      <c r="Q4">
        <f t="shared" si="2"/>
        <v>6277.4400000000005</v>
      </c>
      <c r="R4">
        <f t="shared" si="3"/>
        <v>3295.1999999999994</v>
      </c>
      <c r="S4">
        <f t="shared" si="4"/>
        <v>2636.16</v>
      </c>
    </row>
    <row r="5" spans="1:19" x14ac:dyDescent="0.3">
      <c r="A5">
        <v>1072</v>
      </c>
      <c r="B5" s="1">
        <v>45162</v>
      </c>
      <c r="C5" t="s">
        <v>14</v>
      </c>
      <c r="D5" t="s">
        <v>25</v>
      </c>
      <c r="E5">
        <v>2167.94</v>
      </c>
      <c r="F5">
        <v>39</v>
      </c>
      <c r="G5" t="s">
        <v>29</v>
      </c>
      <c r="H5">
        <v>4330.03</v>
      </c>
      <c r="I5">
        <v>4467.75</v>
      </c>
      <c r="J5" t="s">
        <v>30</v>
      </c>
      <c r="K5">
        <v>0.02</v>
      </c>
      <c r="L5" t="s">
        <v>31</v>
      </c>
      <c r="M5" t="s">
        <v>22</v>
      </c>
      <c r="N5" t="s">
        <v>32</v>
      </c>
      <c r="O5" t="str">
        <f t="shared" si="0"/>
        <v>Aug</v>
      </c>
      <c r="P5" t="str">
        <f t="shared" si="1"/>
        <v>Thursday</v>
      </c>
      <c r="Q5">
        <f t="shared" si="2"/>
        <v>165493.74659999998</v>
      </c>
      <c r="R5">
        <f t="shared" si="3"/>
        <v>5371.0800000000099</v>
      </c>
      <c r="S5">
        <f t="shared" si="4"/>
        <v>5263.6584000000094</v>
      </c>
    </row>
    <row r="6" spans="1:19" x14ac:dyDescent="0.3">
      <c r="A6">
        <v>1061</v>
      </c>
      <c r="B6" s="1">
        <v>45009</v>
      </c>
      <c r="C6" t="s">
        <v>33</v>
      </c>
      <c r="D6" t="s">
        <v>34</v>
      </c>
      <c r="E6">
        <v>3750.2</v>
      </c>
      <c r="F6">
        <v>13</v>
      </c>
      <c r="G6" t="s">
        <v>35</v>
      </c>
      <c r="H6">
        <v>637.37</v>
      </c>
      <c r="I6">
        <v>692.71</v>
      </c>
      <c r="J6" t="s">
        <v>30</v>
      </c>
      <c r="K6">
        <v>0.08</v>
      </c>
      <c r="L6" t="s">
        <v>31</v>
      </c>
      <c r="M6" t="s">
        <v>19</v>
      </c>
      <c r="N6" t="s">
        <v>36</v>
      </c>
      <c r="O6" t="str">
        <f t="shared" si="0"/>
        <v>Mar</v>
      </c>
      <c r="P6" t="str">
        <f t="shared" si="1"/>
        <v>Friday</v>
      </c>
      <c r="Q6">
        <f t="shared" si="2"/>
        <v>7622.9452000000001</v>
      </c>
      <c r="R6">
        <f t="shared" si="3"/>
        <v>719.42000000000041</v>
      </c>
      <c r="S6">
        <f t="shared" si="4"/>
        <v>661.86640000000045</v>
      </c>
    </row>
    <row r="7" spans="1:19" x14ac:dyDescent="0.3">
      <c r="A7">
        <v>1021</v>
      </c>
      <c r="B7" s="1">
        <v>44968</v>
      </c>
      <c r="C7" t="s">
        <v>33</v>
      </c>
      <c r="D7" t="s">
        <v>21</v>
      </c>
      <c r="E7">
        <v>3761.15</v>
      </c>
      <c r="F7">
        <v>32</v>
      </c>
      <c r="G7" t="s">
        <v>26</v>
      </c>
      <c r="H7">
        <v>900.79</v>
      </c>
      <c r="I7">
        <v>1106.51</v>
      </c>
      <c r="J7" t="s">
        <v>30</v>
      </c>
      <c r="K7">
        <v>0.21</v>
      </c>
      <c r="L7" t="s">
        <v>18</v>
      </c>
      <c r="M7" t="s">
        <v>19</v>
      </c>
      <c r="N7" t="s">
        <v>37</v>
      </c>
      <c r="O7" t="str">
        <f t="shared" si="0"/>
        <v>Feb</v>
      </c>
      <c r="P7" t="str">
        <f t="shared" si="1"/>
        <v>Saturday</v>
      </c>
      <c r="Q7">
        <f t="shared" si="2"/>
        <v>22771.9712</v>
      </c>
      <c r="R7">
        <f t="shared" si="3"/>
        <v>6583.0400000000009</v>
      </c>
      <c r="S7">
        <f t="shared" si="4"/>
        <v>5200.6016000000009</v>
      </c>
    </row>
    <row r="8" spans="1:19" x14ac:dyDescent="0.3">
      <c r="A8">
        <v>1083</v>
      </c>
      <c r="B8" s="1">
        <v>45027</v>
      </c>
      <c r="C8" t="s">
        <v>14</v>
      </c>
      <c r="D8" t="s">
        <v>21</v>
      </c>
      <c r="E8">
        <v>618.30999999999995</v>
      </c>
      <c r="F8">
        <v>29</v>
      </c>
      <c r="G8" t="s">
        <v>16</v>
      </c>
      <c r="H8">
        <v>2408.81</v>
      </c>
      <c r="I8">
        <v>2624.09</v>
      </c>
      <c r="J8" t="s">
        <v>17</v>
      </c>
      <c r="K8">
        <v>0.14000000000000001</v>
      </c>
      <c r="L8" t="s">
        <v>18</v>
      </c>
      <c r="M8" t="s">
        <v>19</v>
      </c>
      <c r="N8" t="s">
        <v>23</v>
      </c>
      <c r="O8" t="str">
        <f t="shared" si="0"/>
        <v>Apr</v>
      </c>
      <c r="P8" t="str">
        <f t="shared" si="1"/>
        <v>Tuesday</v>
      </c>
      <c r="Q8">
        <f t="shared" si="2"/>
        <v>60075.721400000002</v>
      </c>
      <c r="R8">
        <f t="shared" si="3"/>
        <v>6243.1200000000063</v>
      </c>
      <c r="S8">
        <f t="shared" si="4"/>
        <v>5369.0832000000055</v>
      </c>
    </row>
    <row r="9" spans="1:19" x14ac:dyDescent="0.3">
      <c r="A9">
        <v>1087</v>
      </c>
      <c r="B9" s="1">
        <v>44932</v>
      </c>
      <c r="C9" t="s">
        <v>38</v>
      </c>
      <c r="D9" t="s">
        <v>25</v>
      </c>
      <c r="E9">
        <v>7698.92</v>
      </c>
      <c r="F9">
        <v>46</v>
      </c>
      <c r="G9" t="s">
        <v>16</v>
      </c>
      <c r="H9">
        <v>3702.51</v>
      </c>
      <c r="I9">
        <v>3964.65</v>
      </c>
      <c r="J9" t="s">
        <v>30</v>
      </c>
      <c r="K9">
        <v>0.12</v>
      </c>
      <c r="L9" t="s">
        <v>27</v>
      </c>
      <c r="M9" t="s">
        <v>19</v>
      </c>
      <c r="N9" t="s">
        <v>39</v>
      </c>
      <c r="O9" t="str">
        <f t="shared" si="0"/>
        <v>Jan</v>
      </c>
      <c r="P9" t="str">
        <f t="shared" si="1"/>
        <v>Friday</v>
      </c>
      <c r="Q9">
        <f t="shared" si="2"/>
        <v>149877.60480000003</v>
      </c>
      <c r="R9">
        <f t="shared" si="3"/>
        <v>12058.439999999995</v>
      </c>
      <c r="S9">
        <f t="shared" si="4"/>
        <v>10611.427199999996</v>
      </c>
    </row>
    <row r="10" spans="1:19" x14ac:dyDescent="0.3">
      <c r="A10">
        <v>1075</v>
      </c>
      <c r="B10" s="1">
        <v>45106</v>
      </c>
      <c r="C10" t="s">
        <v>24</v>
      </c>
      <c r="D10" t="s">
        <v>25</v>
      </c>
      <c r="E10">
        <v>4223.3900000000003</v>
      </c>
      <c r="F10">
        <v>30</v>
      </c>
      <c r="G10" t="s">
        <v>16</v>
      </c>
      <c r="H10">
        <v>738.06</v>
      </c>
      <c r="I10">
        <v>1095.44999999999</v>
      </c>
      <c r="J10" t="s">
        <v>30</v>
      </c>
      <c r="K10">
        <v>0.05</v>
      </c>
      <c r="L10" t="s">
        <v>27</v>
      </c>
      <c r="M10" t="s">
        <v>19</v>
      </c>
      <c r="N10" t="s">
        <v>28</v>
      </c>
      <c r="O10" t="str">
        <f t="shared" si="0"/>
        <v>Jun</v>
      </c>
      <c r="P10" t="str">
        <f t="shared" si="1"/>
        <v>Thursday</v>
      </c>
      <c r="Q10">
        <f t="shared" si="2"/>
        <v>21034.71</v>
      </c>
      <c r="R10">
        <f t="shared" si="3"/>
        <v>10721.699999999702</v>
      </c>
      <c r="S10">
        <f t="shared" si="4"/>
        <v>10185.614999999716</v>
      </c>
    </row>
    <row r="11" spans="1:19" x14ac:dyDescent="0.3">
      <c r="A11">
        <v>1075</v>
      </c>
      <c r="B11" s="1">
        <v>45208</v>
      </c>
      <c r="C11" t="s">
        <v>33</v>
      </c>
      <c r="D11" t="s">
        <v>21</v>
      </c>
      <c r="E11">
        <v>8239.58</v>
      </c>
      <c r="F11">
        <v>18</v>
      </c>
      <c r="G11" t="s">
        <v>29</v>
      </c>
      <c r="H11">
        <v>2228.35</v>
      </c>
      <c r="I11">
        <v>2682.34</v>
      </c>
      <c r="J11" t="s">
        <v>30</v>
      </c>
      <c r="K11">
        <v>0.13</v>
      </c>
      <c r="L11" t="s">
        <v>27</v>
      </c>
      <c r="M11" t="s">
        <v>19</v>
      </c>
      <c r="N11" t="s">
        <v>37</v>
      </c>
      <c r="O11" t="str">
        <f t="shared" si="0"/>
        <v>Oct</v>
      </c>
      <c r="P11" t="str">
        <f t="shared" si="1"/>
        <v>Monday</v>
      </c>
      <c r="Q11">
        <f t="shared" si="2"/>
        <v>34895.960999999996</v>
      </c>
      <c r="R11">
        <f t="shared" si="3"/>
        <v>8171.8200000000043</v>
      </c>
      <c r="S11">
        <f t="shared" si="4"/>
        <v>7109.4834000000037</v>
      </c>
    </row>
    <row r="12" spans="1:19" x14ac:dyDescent="0.3">
      <c r="A12">
        <v>1088</v>
      </c>
      <c r="B12" s="1">
        <v>45246</v>
      </c>
      <c r="C12" t="s">
        <v>38</v>
      </c>
      <c r="D12" t="s">
        <v>15</v>
      </c>
      <c r="E12">
        <v>8518.4500000000007</v>
      </c>
      <c r="F12">
        <v>13</v>
      </c>
      <c r="G12" t="s">
        <v>16</v>
      </c>
      <c r="H12">
        <v>2440.11</v>
      </c>
      <c r="I12">
        <v>2517.6</v>
      </c>
      <c r="J12" t="s">
        <v>30</v>
      </c>
      <c r="K12">
        <v>0.23</v>
      </c>
      <c r="L12" t="s">
        <v>27</v>
      </c>
      <c r="M12" t="s">
        <v>22</v>
      </c>
      <c r="N12" t="s">
        <v>40</v>
      </c>
      <c r="O12" t="str">
        <f t="shared" si="0"/>
        <v>Nov</v>
      </c>
      <c r="P12" t="str">
        <f t="shared" si="1"/>
        <v>Thursday</v>
      </c>
      <c r="Q12">
        <f t="shared" si="2"/>
        <v>24425.501100000001</v>
      </c>
      <c r="R12">
        <f t="shared" si="3"/>
        <v>1007.3699999999972</v>
      </c>
      <c r="S12">
        <f t="shared" si="4"/>
        <v>775.67489999999782</v>
      </c>
    </row>
    <row r="13" spans="1:19" x14ac:dyDescent="0.3">
      <c r="A13">
        <v>1100</v>
      </c>
      <c r="B13" s="1">
        <v>45152</v>
      </c>
      <c r="C13" t="s">
        <v>14</v>
      </c>
      <c r="D13" t="s">
        <v>21</v>
      </c>
      <c r="E13">
        <v>2198.7399999999998</v>
      </c>
      <c r="F13">
        <v>43</v>
      </c>
      <c r="G13" t="s">
        <v>26</v>
      </c>
      <c r="H13">
        <v>1100.81</v>
      </c>
      <c r="I13">
        <v>1137.44</v>
      </c>
      <c r="J13" t="s">
        <v>17</v>
      </c>
      <c r="K13">
        <v>0.08</v>
      </c>
      <c r="L13" t="s">
        <v>27</v>
      </c>
      <c r="M13" t="s">
        <v>19</v>
      </c>
      <c r="N13" t="s">
        <v>23</v>
      </c>
      <c r="O13" t="str">
        <f t="shared" si="0"/>
        <v>Aug</v>
      </c>
      <c r="P13" t="str">
        <f t="shared" si="1"/>
        <v>Monday</v>
      </c>
      <c r="Q13">
        <f t="shared" si="2"/>
        <v>43548.043599999997</v>
      </c>
      <c r="R13">
        <f t="shared" si="3"/>
        <v>1575.0900000000047</v>
      </c>
      <c r="S13">
        <f t="shared" si="4"/>
        <v>1449.0828000000045</v>
      </c>
    </row>
    <row r="14" spans="1:19" x14ac:dyDescent="0.3">
      <c r="A14">
        <v>1024</v>
      </c>
      <c r="B14" s="1">
        <v>45241</v>
      </c>
      <c r="C14" t="s">
        <v>38</v>
      </c>
      <c r="D14" t="s">
        <v>21</v>
      </c>
      <c r="E14">
        <v>6607.8</v>
      </c>
      <c r="F14">
        <v>21</v>
      </c>
      <c r="G14" t="s">
        <v>26</v>
      </c>
      <c r="H14">
        <v>622.01</v>
      </c>
      <c r="I14">
        <v>641.09</v>
      </c>
      <c r="J14" t="s">
        <v>17</v>
      </c>
      <c r="K14">
        <v>0</v>
      </c>
      <c r="L14" t="s">
        <v>27</v>
      </c>
      <c r="M14" t="s">
        <v>22</v>
      </c>
      <c r="N14" t="s">
        <v>41</v>
      </c>
      <c r="O14" t="str">
        <f t="shared" si="0"/>
        <v>Nov</v>
      </c>
      <c r="P14" t="str">
        <f t="shared" si="1"/>
        <v>Saturday</v>
      </c>
      <c r="Q14">
        <f t="shared" si="2"/>
        <v>13062.21</v>
      </c>
      <c r="R14">
        <f t="shared" si="3"/>
        <v>400.68000000000086</v>
      </c>
      <c r="S14">
        <f t="shared" si="4"/>
        <v>400.68000000000086</v>
      </c>
    </row>
    <row r="15" spans="1:19" x14ac:dyDescent="0.3">
      <c r="A15">
        <v>1003</v>
      </c>
      <c r="B15" s="1">
        <v>45291</v>
      </c>
      <c r="C15" t="s">
        <v>42</v>
      </c>
      <c r="D15" t="s">
        <v>25</v>
      </c>
      <c r="E15">
        <v>4775.59</v>
      </c>
      <c r="F15">
        <v>30</v>
      </c>
      <c r="G15" t="s">
        <v>16</v>
      </c>
      <c r="H15">
        <v>4190.28</v>
      </c>
      <c r="I15">
        <v>4270.6499999999996</v>
      </c>
      <c r="J15" t="s">
        <v>30</v>
      </c>
      <c r="K15">
        <v>0.2</v>
      </c>
      <c r="L15" t="s">
        <v>18</v>
      </c>
      <c r="M15" t="s">
        <v>19</v>
      </c>
      <c r="N15" t="s">
        <v>43</v>
      </c>
      <c r="O15" t="str">
        <f t="shared" si="0"/>
        <v>Dec</v>
      </c>
      <c r="P15" t="str">
        <f t="shared" si="1"/>
        <v>Sunday</v>
      </c>
      <c r="Q15">
        <f t="shared" si="2"/>
        <v>100566.72</v>
      </c>
      <c r="R15">
        <f t="shared" si="3"/>
        <v>2411.0999999999967</v>
      </c>
      <c r="S15">
        <f t="shared" si="4"/>
        <v>1928.8799999999974</v>
      </c>
    </row>
    <row r="16" spans="1:19"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c r="O16" t="str">
        <f t="shared" si="0"/>
        <v>Aug</v>
      </c>
      <c r="P16" t="str">
        <f t="shared" si="1"/>
        <v>Thursday</v>
      </c>
      <c r="Q16">
        <f t="shared" si="2"/>
        <v>37829.651999999995</v>
      </c>
      <c r="R16">
        <f t="shared" si="3"/>
        <v>6980.4000000000015</v>
      </c>
      <c r="S16">
        <f t="shared" si="4"/>
        <v>4956.0840000000007</v>
      </c>
    </row>
    <row r="17" spans="1:19" x14ac:dyDescent="0.3">
      <c r="A17">
        <v>1053</v>
      </c>
      <c r="B17" s="1">
        <v>45215</v>
      </c>
      <c r="C17" t="s">
        <v>14</v>
      </c>
      <c r="D17" t="s">
        <v>15</v>
      </c>
      <c r="E17">
        <v>2235.83</v>
      </c>
      <c r="F17">
        <v>48</v>
      </c>
      <c r="G17" t="s">
        <v>16</v>
      </c>
      <c r="H17">
        <v>121.19</v>
      </c>
      <c r="I17">
        <v>487.65</v>
      </c>
      <c r="J17" t="s">
        <v>30</v>
      </c>
      <c r="K17">
        <v>0.18</v>
      </c>
      <c r="L17" t="s">
        <v>18</v>
      </c>
      <c r="M17" t="s">
        <v>22</v>
      </c>
      <c r="N17" t="s">
        <v>20</v>
      </c>
      <c r="O17" t="str">
        <f t="shared" si="0"/>
        <v>Oct</v>
      </c>
      <c r="P17" t="str">
        <f t="shared" si="1"/>
        <v>Monday</v>
      </c>
      <c r="Q17">
        <f t="shared" si="2"/>
        <v>4770.0384000000004</v>
      </c>
      <c r="R17">
        <f t="shared" si="3"/>
        <v>17590.079999999998</v>
      </c>
      <c r="S17">
        <f t="shared" si="4"/>
        <v>14423.865599999999</v>
      </c>
    </row>
    <row r="18" spans="1:19" x14ac:dyDescent="0.3">
      <c r="A18">
        <v>1002</v>
      </c>
      <c r="B18" s="1">
        <v>45076</v>
      </c>
      <c r="C18" t="s">
        <v>24</v>
      </c>
      <c r="D18" t="s">
        <v>15</v>
      </c>
      <c r="E18">
        <v>6810.35</v>
      </c>
      <c r="F18">
        <v>17</v>
      </c>
      <c r="G18" t="s">
        <v>16</v>
      </c>
      <c r="H18">
        <v>4024.76</v>
      </c>
      <c r="I18">
        <v>4420.1499999999996</v>
      </c>
      <c r="J18" t="s">
        <v>17</v>
      </c>
      <c r="K18">
        <v>0.04</v>
      </c>
      <c r="L18" t="s">
        <v>18</v>
      </c>
      <c r="M18" t="s">
        <v>19</v>
      </c>
      <c r="N18" t="s">
        <v>45</v>
      </c>
      <c r="O18" t="str">
        <f t="shared" si="0"/>
        <v>May</v>
      </c>
      <c r="P18" t="str">
        <f t="shared" si="1"/>
        <v>Tuesday</v>
      </c>
      <c r="Q18">
        <f t="shared" si="2"/>
        <v>65684.083199999994</v>
      </c>
      <c r="R18">
        <f t="shared" si="3"/>
        <v>6721.6299999999901</v>
      </c>
      <c r="S18">
        <f t="shared" si="4"/>
        <v>6452.7647999999899</v>
      </c>
    </row>
    <row r="19" spans="1:19" x14ac:dyDescent="0.3">
      <c r="A19">
        <v>1088</v>
      </c>
      <c r="B19" s="1">
        <v>45203</v>
      </c>
      <c r="C19" t="s">
        <v>14</v>
      </c>
      <c r="D19" t="s">
        <v>34</v>
      </c>
      <c r="E19">
        <v>6116.75</v>
      </c>
      <c r="F19">
        <v>40</v>
      </c>
      <c r="G19" t="s">
        <v>35</v>
      </c>
      <c r="H19">
        <v>4904.93</v>
      </c>
      <c r="I19">
        <v>5034.3500000000004</v>
      </c>
      <c r="J19" t="s">
        <v>30</v>
      </c>
      <c r="K19">
        <v>0.1</v>
      </c>
      <c r="L19" t="s">
        <v>31</v>
      </c>
      <c r="M19" t="s">
        <v>22</v>
      </c>
      <c r="N19" t="s">
        <v>46</v>
      </c>
      <c r="O19" t="str">
        <f t="shared" si="0"/>
        <v>Oct</v>
      </c>
      <c r="P19" t="str">
        <f t="shared" si="1"/>
        <v>Wednesday</v>
      </c>
      <c r="Q19">
        <f t="shared" si="2"/>
        <v>176577.48</v>
      </c>
      <c r="R19">
        <f t="shared" si="3"/>
        <v>5176.8000000000029</v>
      </c>
      <c r="S19">
        <f t="shared" si="4"/>
        <v>4659.1200000000026</v>
      </c>
    </row>
    <row r="20" spans="1:19" x14ac:dyDescent="0.3">
      <c r="A20">
        <v>1030</v>
      </c>
      <c r="B20" s="1">
        <v>45124</v>
      </c>
      <c r="C20" t="s">
        <v>24</v>
      </c>
      <c r="D20" t="s">
        <v>21</v>
      </c>
      <c r="E20">
        <v>3023.48</v>
      </c>
      <c r="F20">
        <v>19</v>
      </c>
      <c r="G20" t="s">
        <v>29</v>
      </c>
      <c r="H20">
        <v>3049.33</v>
      </c>
      <c r="I20">
        <v>3209.22</v>
      </c>
      <c r="J20" t="s">
        <v>17</v>
      </c>
      <c r="K20">
        <v>0.26</v>
      </c>
      <c r="L20" t="s">
        <v>18</v>
      </c>
      <c r="M20" t="s">
        <v>19</v>
      </c>
      <c r="N20" t="s">
        <v>47</v>
      </c>
      <c r="O20" t="str">
        <f t="shared" si="0"/>
        <v>Jul</v>
      </c>
      <c r="P20" t="str">
        <f t="shared" si="1"/>
        <v>Monday</v>
      </c>
      <c r="Q20">
        <f t="shared" si="2"/>
        <v>42873.5798</v>
      </c>
      <c r="R20">
        <f t="shared" si="3"/>
        <v>3037.9099999999976</v>
      </c>
      <c r="S20">
        <f t="shared" si="4"/>
        <v>2248.053399999998</v>
      </c>
    </row>
    <row r="21" spans="1:19" x14ac:dyDescent="0.3">
      <c r="A21">
        <v>1038</v>
      </c>
      <c r="B21" s="1">
        <v>44996</v>
      </c>
      <c r="C21" t="s">
        <v>14</v>
      </c>
      <c r="D21" t="s">
        <v>25</v>
      </c>
      <c r="E21">
        <v>1452.35</v>
      </c>
      <c r="F21">
        <v>15</v>
      </c>
      <c r="G21" t="s">
        <v>29</v>
      </c>
      <c r="H21">
        <v>2543.36</v>
      </c>
      <c r="I21">
        <v>2790.1</v>
      </c>
      <c r="J21" t="s">
        <v>17</v>
      </c>
      <c r="K21">
        <v>7.0000000000000007E-2</v>
      </c>
      <c r="L21" t="s">
        <v>18</v>
      </c>
      <c r="M21" t="s">
        <v>19</v>
      </c>
      <c r="N21" t="s">
        <v>32</v>
      </c>
      <c r="O21" t="str">
        <f t="shared" si="0"/>
        <v>Mar</v>
      </c>
      <c r="P21" t="str">
        <f t="shared" si="1"/>
        <v>Saturday</v>
      </c>
      <c r="Q21">
        <f t="shared" si="2"/>
        <v>35479.871999999996</v>
      </c>
      <c r="R21">
        <f t="shared" si="3"/>
        <v>3701.0999999999967</v>
      </c>
      <c r="S21">
        <f t="shared" si="4"/>
        <v>3442.0229999999965</v>
      </c>
    </row>
    <row r="22" spans="1:19" x14ac:dyDescent="0.3">
      <c r="A22">
        <v>1002</v>
      </c>
      <c r="B22" s="1">
        <v>45038</v>
      </c>
      <c r="C22" t="s">
        <v>38</v>
      </c>
      <c r="D22" t="s">
        <v>15</v>
      </c>
      <c r="E22">
        <v>6551.23</v>
      </c>
      <c r="F22">
        <v>9</v>
      </c>
      <c r="G22" t="s">
        <v>35</v>
      </c>
      <c r="H22">
        <v>4398.16</v>
      </c>
      <c r="I22">
        <v>4439.12</v>
      </c>
      <c r="J22" t="s">
        <v>30</v>
      </c>
      <c r="K22">
        <v>0.18</v>
      </c>
      <c r="L22" t="s">
        <v>27</v>
      </c>
      <c r="M22" t="s">
        <v>19</v>
      </c>
      <c r="N22" t="s">
        <v>40</v>
      </c>
      <c r="O22" t="str">
        <f t="shared" si="0"/>
        <v>Apr</v>
      </c>
      <c r="P22" t="str">
        <f t="shared" si="1"/>
        <v>Saturday</v>
      </c>
      <c r="Q22">
        <f t="shared" si="2"/>
        <v>32458.420800000004</v>
      </c>
      <c r="R22">
        <f t="shared" si="3"/>
        <v>368.64000000000033</v>
      </c>
      <c r="S22">
        <f t="shared" si="4"/>
        <v>302.2848000000003</v>
      </c>
    </row>
    <row r="23" spans="1:19" x14ac:dyDescent="0.3">
      <c r="A23">
        <v>1064</v>
      </c>
      <c r="B23" s="1">
        <v>44930</v>
      </c>
      <c r="C23" t="s">
        <v>38</v>
      </c>
      <c r="D23" t="s">
        <v>34</v>
      </c>
      <c r="E23">
        <v>7412.11</v>
      </c>
      <c r="F23">
        <v>10</v>
      </c>
      <c r="G23" t="s">
        <v>35</v>
      </c>
      <c r="H23">
        <v>4764.96</v>
      </c>
      <c r="I23">
        <v>5074.42</v>
      </c>
      <c r="J23" t="s">
        <v>30</v>
      </c>
      <c r="K23">
        <v>0.12</v>
      </c>
      <c r="L23" t="s">
        <v>18</v>
      </c>
      <c r="M23" t="s">
        <v>19</v>
      </c>
      <c r="N23" t="s">
        <v>48</v>
      </c>
      <c r="O23" t="str">
        <f t="shared" si="0"/>
        <v>Jan</v>
      </c>
      <c r="P23" t="str">
        <f t="shared" si="1"/>
        <v>Wednesday</v>
      </c>
      <c r="Q23">
        <f t="shared" si="2"/>
        <v>41931.648000000001</v>
      </c>
      <c r="R23">
        <f t="shared" si="3"/>
        <v>3094.6000000000004</v>
      </c>
      <c r="S23">
        <f t="shared" si="4"/>
        <v>2723.2480000000005</v>
      </c>
    </row>
    <row r="24" spans="1:19" x14ac:dyDescent="0.3">
      <c r="A24">
        <v>1060</v>
      </c>
      <c r="B24" s="1">
        <v>45276</v>
      </c>
      <c r="C24" t="s">
        <v>38</v>
      </c>
      <c r="D24" t="s">
        <v>34</v>
      </c>
      <c r="E24">
        <v>3224.71</v>
      </c>
      <c r="F24">
        <v>44</v>
      </c>
      <c r="G24" t="s">
        <v>29</v>
      </c>
      <c r="H24">
        <v>3784.96</v>
      </c>
      <c r="I24">
        <v>4276.99</v>
      </c>
      <c r="J24" t="s">
        <v>30</v>
      </c>
      <c r="K24">
        <v>0.06</v>
      </c>
      <c r="L24" t="s">
        <v>27</v>
      </c>
      <c r="M24" t="s">
        <v>22</v>
      </c>
      <c r="N24" t="s">
        <v>48</v>
      </c>
      <c r="O24" t="str">
        <f t="shared" si="0"/>
        <v>Dec</v>
      </c>
      <c r="P24" t="str">
        <f t="shared" si="1"/>
        <v>Saturday</v>
      </c>
      <c r="Q24">
        <f t="shared" si="2"/>
        <v>156545.94559999998</v>
      </c>
      <c r="R24">
        <f t="shared" si="3"/>
        <v>21649.319999999989</v>
      </c>
      <c r="S24">
        <f t="shared" si="4"/>
        <v>20350.360799999988</v>
      </c>
    </row>
    <row r="25" spans="1:19" x14ac:dyDescent="0.3">
      <c r="A25">
        <v>1021</v>
      </c>
      <c r="B25" s="1">
        <v>45257</v>
      </c>
      <c r="C25" t="s">
        <v>42</v>
      </c>
      <c r="D25" t="s">
        <v>25</v>
      </c>
      <c r="E25">
        <v>6483.84</v>
      </c>
      <c r="F25">
        <v>31</v>
      </c>
      <c r="G25" t="s">
        <v>16</v>
      </c>
      <c r="H25">
        <v>2254.9899999999998</v>
      </c>
      <c r="I25">
        <v>2441.79</v>
      </c>
      <c r="J25" t="s">
        <v>17</v>
      </c>
      <c r="K25">
        <v>0.24</v>
      </c>
      <c r="L25" t="s">
        <v>27</v>
      </c>
      <c r="M25" t="s">
        <v>19</v>
      </c>
      <c r="N25" t="s">
        <v>43</v>
      </c>
      <c r="O25" t="str">
        <f t="shared" si="0"/>
        <v>Nov</v>
      </c>
      <c r="P25" t="str">
        <f t="shared" si="1"/>
        <v>Monday</v>
      </c>
      <c r="Q25">
        <f t="shared" si="2"/>
        <v>53127.564399999988</v>
      </c>
      <c r="R25">
        <f t="shared" si="3"/>
        <v>5790.8000000000056</v>
      </c>
      <c r="S25">
        <f t="shared" si="4"/>
        <v>4401.0080000000044</v>
      </c>
    </row>
    <row r="26" spans="1:19" x14ac:dyDescent="0.3">
      <c r="A26">
        <v>1033</v>
      </c>
      <c r="B26" s="1">
        <v>45244</v>
      </c>
      <c r="C26" t="s">
        <v>24</v>
      </c>
      <c r="D26" t="s">
        <v>25</v>
      </c>
      <c r="E26">
        <v>4011.8</v>
      </c>
      <c r="F26">
        <v>23</v>
      </c>
      <c r="G26" t="s">
        <v>16</v>
      </c>
      <c r="H26">
        <v>2981.5</v>
      </c>
      <c r="I26">
        <v>3360.4</v>
      </c>
      <c r="J26" t="s">
        <v>17</v>
      </c>
      <c r="K26">
        <v>0.22</v>
      </c>
      <c r="L26" t="s">
        <v>27</v>
      </c>
      <c r="M26" t="s">
        <v>22</v>
      </c>
      <c r="N26" t="s">
        <v>28</v>
      </c>
      <c r="O26" t="str">
        <f t="shared" si="0"/>
        <v>Nov</v>
      </c>
      <c r="P26" t="str">
        <f t="shared" si="1"/>
        <v>Tuesday</v>
      </c>
      <c r="Q26">
        <f t="shared" si="2"/>
        <v>53488.11</v>
      </c>
      <c r="R26">
        <f t="shared" si="3"/>
        <v>8714.7000000000025</v>
      </c>
      <c r="S26">
        <f t="shared" si="4"/>
        <v>6797.4660000000022</v>
      </c>
    </row>
    <row r="27" spans="1:19" x14ac:dyDescent="0.3">
      <c r="A27">
        <v>1076</v>
      </c>
      <c r="B27" s="1">
        <v>45276</v>
      </c>
      <c r="C27" t="s">
        <v>38</v>
      </c>
      <c r="D27" t="s">
        <v>34</v>
      </c>
      <c r="E27">
        <v>7160.75</v>
      </c>
      <c r="F27">
        <v>30</v>
      </c>
      <c r="G27" t="s">
        <v>29</v>
      </c>
      <c r="H27">
        <v>3519.63</v>
      </c>
      <c r="I27">
        <v>3774.65</v>
      </c>
      <c r="J27" t="s">
        <v>30</v>
      </c>
      <c r="K27">
        <v>0.2</v>
      </c>
      <c r="L27" t="s">
        <v>31</v>
      </c>
      <c r="M27" t="s">
        <v>22</v>
      </c>
      <c r="N27" t="s">
        <v>48</v>
      </c>
      <c r="O27" t="str">
        <f t="shared" si="0"/>
        <v>Dec</v>
      </c>
      <c r="P27" t="str">
        <f t="shared" si="1"/>
        <v>Saturday</v>
      </c>
      <c r="Q27">
        <f t="shared" si="2"/>
        <v>84471.12000000001</v>
      </c>
      <c r="R27">
        <f t="shared" si="3"/>
        <v>7650.5999999999995</v>
      </c>
      <c r="S27">
        <f t="shared" si="4"/>
        <v>6120.48</v>
      </c>
    </row>
    <row r="28" spans="1:19" x14ac:dyDescent="0.3">
      <c r="A28">
        <v>1058</v>
      </c>
      <c r="B28" s="1">
        <v>45021</v>
      </c>
      <c r="C28" t="s">
        <v>42</v>
      </c>
      <c r="D28" t="s">
        <v>15</v>
      </c>
      <c r="E28">
        <v>2072.23</v>
      </c>
      <c r="F28">
        <v>33</v>
      </c>
      <c r="G28" t="s">
        <v>16</v>
      </c>
      <c r="H28">
        <v>1011.65</v>
      </c>
      <c r="I28">
        <v>1084.28</v>
      </c>
      <c r="J28" t="s">
        <v>17</v>
      </c>
      <c r="K28">
        <v>7.0000000000000007E-2</v>
      </c>
      <c r="L28" t="s">
        <v>27</v>
      </c>
      <c r="M28" t="s">
        <v>22</v>
      </c>
      <c r="N28" t="s">
        <v>49</v>
      </c>
      <c r="O28" t="str">
        <f t="shared" si="0"/>
        <v>Apr</v>
      </c>
      <c r="P28" t="str">
        <f t="shared" si="1"/>
        <v>Wednesday</v>
      </c>
      <c r="Q28">
        <f t="shared" si="2"/>
        <v>31047.538499999995</v>
      </c>
      <c r="R28">
        <f t="shared" si="3"/>
        <v>2396.79</v>
      </c>
      <c r="S28">
        <f t="shared" si="4"/>
        <v>2229.0146999999997</v>
      </c>
    </row>
    <row r="29" spans="1:19" x14ac:dyDescent="0.3">
      <c r="A29">
        <v>1022</v>
      </c>
      <c r="B29" s="1">
        <v>45078</v>
      </c>
      <c r="C29" t="s">
        <v>24</v>
      </c>
      <c r="D29" t="s">
        <v>34</v>
      </c>
      <c r="E29">
        <v>8913.1299999999992</v>
      </c>
      <c r="F29">
        <v>9</v>
      </c>
      <c r="G29" t="s">
        <v>35</v>
      </c>
      <c r="H29">
        <v>2263.65</v>
      </c>
      <c r="I29">
        <v>2558.9499999999998</v>
      </c>
      <c r="J29" t="s">
        <v>30</v>
      </c>
      <c r="K29">
        <v>0.03</v>
      </c>
      <c r="L29" t="s">
        <v>18</v>
      </c>
      <c r="M29" t="s">
        <v>19</v>
      </c>
      <c r="N29" t="s">
        <v>50</v>
      </c>
      <c r="O29" t="str">
        <f t="shared" si="0"/>
        <v>Jun</v>
      </c>
      <c r="P29" t="str">
        <f t="shared" si="1"/>
        <v>Thursday</v>
      </c>
      <c r="Q29">
        <f t="shared" si="2"/>
        <v>19761.664500000003</v>
      </c>
      <c r="R29">
        <f t="shared" si="3"/>
        <v>2657.6999999999975</v>
      </c>
      <c r="S29">
        <f t="shared" si="4"/>
        <v>2577.9689999999973</v>
      </c>
    </row>
    <row r="30" spans="1:19" x14ac:dyDescent="0.3">
      <c r="A30">
        <v>1089</v>
      </c>
      <c r="B30" s="1">
        <v>45237</v>
      </c>
      <c r="C30" t="s">
        <v>14</v>
      </c>
      <c r="D30" t="s">
        <v>21</v>
      </c>
      <c r="E30">
        <v>2945.36</v>
      </c>
      <c r="F30">
        <v>47</v>
      </c>
      <c r="G30" t="s">
        <v>16</v>
      </c>
      <c r="H30">
        <v>4157.62</v>
      </c>
      <c r="I30">
        <v>4314.5599999999904</v>
      </c>
      <c r="J30" t="s">
        <v>30</v>
      </c>
      <c r="K30">
        <v>0.17</v>
      </c>
      <c r="L30" t="s">
        <v>27</v>
      </c>
      <c r="M30" t="s">
        <v>22</v>
      </c>
      <c r="N30" t="s">
        <v>23</v>
      </c>
      <c r="O30" t="str">
        <f t="shared" si="0"/>
        <v>Nov</v>
      </c>
      <c r="P30" t="str">
        <f t="shared" si="1"/>
        <v>Tuesday</v>
      </c>
      <c r="Q30">
        <f t="shared" si="2"/>
        <v>162188.75619999997</v>
      </c>
      <c r="R30">
        <f t="shared" si="3"/>
        <v>7376.1799999995537</v>
      </c>
      <c r="S30">
        <f t="shared" si="4"/>
        <v>6122.2293999996291</v>
      </c>
    </row>
    <row r="31" spans="1:19" x14ac:dyDescent="0.3">
      <c r="A31">
        <v>1049</v>
      </c>
      <c r="B31" s="1">
        <v>45063</v>
      </c>
      <c r="C31" t="s">
        <v>42</v>
      </c>
      <c r="D31" t="s">
        <v>21</v>
      </c>
      <c r="E31">
        <v>3741.08</v>
      </c>
      <c r="F31">
        <v>1</v>
      </c>
      <c r="G31" t="s">
        <v>16</v>
      </c>
      <c r="H31">
        <v>3290.89</v>
      </c>
      <c r="I31">
        <v>3317.75</v>
      </c>
      <c r="J31" t="s">
        <v>17</v>
      </c>
      <c r="K31">
        <v>0.17</v>
      </c>
      <c r="L31" t="s">
        <v>27</v>
      </c>
      <c r="M31" t="s">
        <v>19</v>
      </c>
      <c r="N31" t="s">
        <v>51</v>
      </c>
      <c r="O31" t="str">
        <f t="shared" si="0"/>
        <v>May</v>
      </c>
      <c r="P31" t="str">
        <f t="shared" si="1"/>
        <v>Wednesday</v>
      </c>
      <c r="Q31">
        <f t="shared" si="2"/>
        <v>2731.4386999999997</v>
      </c>
      <c r="R31">
        <f t="shared" si="3"/>
        <v>26.860000000000127</v>
      </c>
      <c r="S31">
        <f t="shared" si="4"/>
        <v>22.293800000000104</v>
      </c>
    </row>
    <row r="32" spans="1:19" x14ac:dyDescent="0.3">
      <c r="A32">
        <v>1091</v>
      </c>
      <c r="B32" s="1">
        <v>45173</v>
      </c>
      <c r="C32" t="s">
        <v>33</v>
      </c>
      <c r="D32" t="s">
        <v>25</v>
      </c>
      <c r="E32">
        <v>675.11</v>
      </c>
      <c r="F32">
        <v>44</v>
      </c>
      <c r="G32" t="s">
        <v>26</v>
      </c>
      <c r="H32">
        <v>2085.46</v>
      </c>
      <c r="I32">
        <v>2406.58</v>
      </c>
      <c r="J32" t="s">
        <v>17</v>
      </c>
      <c r="K32">
        <v>0.06</v>
      </c>
      <c r="L32" t="s">
        <v>27</v>
      </c>
      <c r="M32" t="s">
        <v>22</v>
      </c>
      <c r="N32" t="s">
        <v>44</v>
      </c>
      <c r="O32" t="str">
        <f t="shared" si="0"/>
        <v>Sep</v>
      </c>
      <c r="P32" t="str">
        <f t="shared" si="1"/>
        <v>Monday</v>
      </c>
      <c r="Q32">
        <f t="shared" si="2"/>
        <v>86254.625599999999</v>
      </c>
      <c r="R32">
        <f t="shared" si="3"/>
        <v>14129.279999999995</v>
      </c>
      <c r="S32">
        <f t="shared" si="4"/>
        <v>13281.523199999994</v>
      </c>
    </row>
    <row r="33" spans="1:19" x14ac:dyDescent="0.3">
      <c r="A33">
        <v>1059</v>
      </c>
      <c r="B33" s="1">
        <v>45169</v>
      </c>
      <c r="C33" t="s">
        <v>42</v>
      </c>
      <c r="D33" t="s">
        <v>15</v>
      </c>
      <c r="E33">
        <v>1203.97</v>
      </c>
      <c r="F33">
        <v>35</v>
      </c>
      <c r="G33" t="s">
        <v>26</v>
      </c>
      <c r="H33">
        <v>3333.64</v>
      </c>
      <c r="I33">
        <v>3764.52</v>
      </c>
      <c r="J33" t="s">
        <v>17</v>
      </c>
      <c r="K33">
        <v>0.02</v>
      </c>
      <c r="L33" t="s">
        <v>31</v>
      </c>
      <c r="M33" t="s">
        <v>19</v>
      </c>
      <c r="N33" t="s">
        <v>49</v>
      </c>
      <c r="O33" t="str">
        <f t="shared" si="0"/>
        <v>Aug</v>
      </c>
      <c r="P33" t="str">
        <f t="shared" si="1"/>
        <v>Thursday</v>
      </c>
      <c r="Q33">
        <f t="shared" si="2"/>
        <v>114343.852</v>
      </c>
      <c r="R33">
        <f t="shared" si="3"/>
        <v>15080.800000000003</v>
      </c>
      <c r="S33">
        <f t="shared" si="4"/>
        <v>14779.184000000003</v>
      </c>
    </row>
    <row r="34" spans="1:19" x14ac:dyDescent="0.3">
      <c r="A34">
        <v>1042</v>
      </c>
      <c r="B34" s="1">
        <v>44957</v>
      </c>
      <c r="C34" t="s">
        <v>42</v>
      </c>
      <c r="D34" t="s">
        <v>15</v>
      </c>
      <c r="E34">
        <v>5207.03</v>
      </c>
      <c r="F34">
        <v>11</v>
      </c>
      <c r="G34" t="s">
        <v>26</v>
      </c>
      <c r="H34">
        <v>635.20000000000005</v>
      </c>
      <c r="I34">
        <v>814.14</v>
      </c>
      <c r="J34" t="s">
        <v>17</v>
      </c>
      <c r="K34">
        <v>0.02</v>
      </c>
      <c r="L34" t="s">
        <v>18</v>
      </c>
      <c r="M34" t="s">
        <v>19</v>
      </c>
      <c r="N34" t="s">
        <v>49</v>
      </c>
      <c r="O34" t="str">
        <f t="shared" si="0"/>
        <v>Jan</v>
      </c>
      <c r="P34" t="str">
        <f t="shared" si="1"/>
        <v>Tuesday</v>
      </c>
      <c r="Q34">
        <f t="shared" si="2"/>
        <v>6847.456000000001</v>
      </c>
      <c r="R34">
        <f t="shared" si="3"/>
        <v>1968.3399999999992</v>
      </c>
      <c r="S34">
        <f t="shared" si="4"/>
        <v>1928.9731999999992</v>
      </c>
    </row>
    <row r="35" spans="1:19" x14ac:dyDescent="0.3">
      <c r="A35">
        <v>1092</v>
      </c>
      <c r="B35" s="1">
        <v>44966</v>
      </c>
      <c r="C35" t="s">
        <v>24</v>
      </c>
      <c r="D35" t="s">
        <v>21</v>
      </c>
      <c r="E35">
        <v>2749.17</v>
      </c>
      <c r="F35">
        <v>34</v>
      </c>
      <c r="G35" t="s">
        <v>16</v>
      </c>
      <c r="H35">
        <v>2037.41</v>
      </c>
      <c r="I35">
        <v>2238.65</v>
      </c>
      <c r="J35" t="s">
        <v>30</v>
      </c>
      <c r="K35">
        <v>0.3</v>
      </c>
      <c r="L35" t="s">
        <v>31</v>
      </c>
      <c r="M35" t="s">
        <v>19</v>
      </c>
      <c r="N35" t="s">
        <v>47</v>
      </c>
      <c r="O35" t="str">
        <f t="shared" si="0"/>
        <v>Feb</v>
      </c>
      <c r="P35" t="str">
        <f t="shared" si="1"/>
        <v>Thursday</v>
      </c>
      <c r="Q35">
        <f t="shared" si="2"/>
        <v>48490.358</v>
      </c>
      <c r="R35">
        <f t="shared" si="3"/>
        <v>6842.16</v>
      </c>
      <c r="S35">
        <f t="shared" si="4"/>
        <v>4789.5119999999997</v>
      </c>
    </row>
    <row r="36" spans="1:19" x14ac:dyDescent="0.3">
      <c r="A36">
        <v>1060</v>
      </c>
      <c r="B36" s="1">
        <v>45155</v>
      </c>
      <c r="C36" t="s">
        <v>14</v>
      </c>
      <c r="D36" t="s">
        <v>34</v>
      </c>
      <c r="E36">
        <v>8371.25</v>
      </c>
      <c r="F36">
        <v>16</v>
      </c>
      <c r="G36" t="s">
        <v>29</v>
      </c>
      <c r="H36">
        <v>3975.99</v>
      </c>
      <c r="I36">
        <v>4422.59</v>
      </c>
      <c r="J36" t="s">
        <v>30</v>
      </c>
      <c r="K36">
        <v>0.24</v>
      </c>
      <c r="L36" t="s">
        <v>18</v>
      </c>
      <c r="M36" t="s">
        <v>19</v>
      </c>
      <c r="N36" t="s">
        <v>46</v>
      </c>
      <c r="O36" t="str">
        <f t="shared" si="0"/>
        <v>Aug</v>
      </c>
      <c r="P36" t="str">
        <f t="shared" si="1"/>
        <v>Thursday</v>
      </c>
      <c r="Q36">
        <f t="shared" si="2"/>
        <v>48348.038399999998</v>
      </c>
      <c r="R36">
        <f t="shared" si="3"/>
        <v>7145.6000000000058</v>
      </c>
      <c r="S36">
        <f t="shared" si="4"/>
        <v>5430.6560000000045</v>
      </c>
    </row>
    <row r="37" spans="1:19" x14ac:dyDescent="0.3">
      <c r="A37">
        <v>1080</v>
      </c>
      <c r="B37" s="1">
        <v>44962</v>
      </c>
      <c r="C37" t="s">
        <v>33</v>
      </c>
      <c r="D37" t="s">
        <v>25</v>
      </c>
      <c r="E37">
        <v>245.46</v>
      </c>
      <c r="F37">
        <v>9</v>
      </c>
      <c r="G37" t="s">
        <v>35</v>
      </c>
      <c r="H37">
        <v>1141.52</v>
      </c>
      <c r="I37">
        <v>1550.19</v>
      </c>
      <c r="J37" t="s">
        <v>30</v>
      </c>
      <c r="K37">
        <v>0.28000000000000003</v>
      </c>
      <c r="L37" t="s">
        <v>31</v>
      </c>
      <c r="M37" t="s">
        <v>22</v>
      </c>
      <c r="N37" t="s">
        <v>44</v>
      </c>
      <c r="O37" t="str">
        <f t="shared" si="0"/>
        <v>Feb</v>
      </c>
      <c r="P37" t="str">
        <f t="shared" si="1"/>
        <v>Sunday</v>
      </c>
      <c r="Q37">
        <f t="shared" si="2"/>
        <v>7397.0496000000003</v>
      </c>
      <c r="R37">
        <f t="shared" si="3"/>
        <v>3678.0300000000007</v>
      </c>
      <c r="S37">
        <f t="shared" si="4"/>
        <v>2648.1816000000003</v>
      </c>
    </row>
    <row r="38" spans="1:19" x14ac:dyDescent="0.3">
      <c r="A38">
        <v>1015</v>
      </c>
      <c r="B38" s="1">
        <v>45149</v>
      </c>
      <c r="C38" t="s">
        <v>38</v>
      </c>
      <c r="D38" t="s">
        <v>34</v>
      </c>
      <c r="E38">
        <v>3853.03</v>
      </c>
      <c r="F38">
        <v>32</v>
      </c>
      <c r="G38" t="s">
        <v>16</v>
      </c>
      <c r="H38">
        <v>970.51</v>
      </c>
      <c r="I38">
        <v>1330.84</v>
      </c>
      <c r="J38" t="s">
        <v>17</v>
      </c>
      <c r="K38">
        <v>0.06</v>
      </c>
      <c r="L38" t="s">
        <v>18</v>
      </c>
      <c r="M38" t="s">
        <v>22</v>
      </c>
      <c r="N38" t="s">
        <v>48</v>
      </c>
      <c r="O38" t="str">
        <f t="shared" si="0"/>
        <v>Aug</v>
      </c>
      <c r="P38" t="str">
        <f t="shared" si="1"/>
        <v>Friday</v>
      </c>
      <c r="Q38">
        <f t="shared" si="2"/>
        <v>29192.940799999997</v>
      </c>
      <c r="R38">
        <f t="shared" si="3"/>
        <v>11530.559999999998</v>
      </c>
      <c r="S38">
        <f t="shared" si="4"/>
        <v>10838.726399999998</v>
      </c>
    </row>
    <row r="39" spans="1:19" x14ac:dyDescent="0.3">
      <c r="A39">
        <v>1062</v>
      </c>
      <c r="B39" s="1">
        <v>44932</v>
      </c>
      <c r="C39" t="s">
        <v>38</v>
      </c>
      <c r="D39" t="s">
        <v>34</v>
      </c>
      <c r="E39">
        <v>3439.72</v>
      </c>
      <c r="F39">
        <v>15</v>
      </c>
      <c r="G39" t="s">
        <v>29</v>
      </c>
      <c r="H39">
        <v>4756.55</v>
      </c>
      <c r="I39">
        <v>4888.46</v>
      </c>
      <c r="J39" t="s">
        <v>30</v>
      </c>
      <c r="K39">
        <v>0.28999999999999998</v>
      </c>
      <c r="L39" t="s">
        <v>31</v>
      </c>
      <c r="M39" t="s">
        <v>19</v>
      </c>
      <c r="N39" t="s">
        <v>48</v>
      </c>
      <c r="O39" t="str">
        <f t="shared" si="0"/>
        <v>Jan</v>
      </c>
      <c r="P39" t="str">
        <f t="shared" si="1"/>
        <v>Friday</v>
      </c>
      <c r="Q39">
        <f t="shared" si="2"/>
        <v>50657.2575</v>
      </c>
      <c r="R39">
        <f t="shared" si="3"/>
        <v>1978.6499999999978</v>
      </c>
      <c r="S39">
        <f t="shared" si="4"/>
        <v>1404.8414999999984</v>
      </c>
    </row>
    <row r="40" spans="1:19" x14ac:dyDescent="0.3">
      <c r="A40">
        <v>1062</v>
      </c>
      <c r="B40" s="1">
        <v>45248</v>
      </c>
      <c r="C40" t="s">
        <v>42</v>
      </c>
      <c r="D40" t="s">
        <v>34</v>
      </c>
      <c r="E40">
        <v>291.33999999999997</v>
      </c>
      <c r="F40">
        <v>12</v>
      </c>
      <c r="G40" t="s">
        <v>16</v>
      </c>
      <c r="H40">
        <v>1088.99</v>
      </c>
      <c r="I40">
        <v>1545</v>
      </c>
      <c r="J40" t="s">
        <v>17</v>
      </c>
      <c r="K40">
        <v>0.04</v>
      </c>
      <c r="L40" t="s">
        <v>27</v>
      </c>
      <c r="M40" t="s">
        <v>22</v>
      </c>
      <c r="N40" t="s">
        <v>52</v>
      </c>
      <c r="O40" t="str">
        <f t="shared" si="0"/>
        <v>Nov</v>
      </c>
      <c r="P40" t="str">
        <f t="shared" si="1"/>
        <v>Saturday</v>
      </c>
      <c r="Q40">
        <f t="shared" si="2"/>
        <v>12545.1648</v>
      </c>
      <c r="R40">
        <f t="shared" si="3"/>
        <v>5472.12</v>
      </c>
      <c r="S40">
        <f t="shared" si="4"/>
        <v>5253.2352000000001</v>
      </c>
    </row>
    <row r="41" spans="1:19" x14ac:dyDescent="0.3">
      <c r="A41">
        <v>1047</v>
      </c>
      <c r="B41" s="1">
        <v>45146</v>
      </c>
      <c r="C41" t="s">
        <v>24</v>
      </c>
      <c r="D41" t="s">
        <v>15</v>
      </c>
      <c r="E41">
        <v>1331.25</v>
      </c>
      <c r="F41">
        <v>33</v>
      </c>
      <c r="G41" t="s">
        <v>35</v>
      </c>
      <c r="H41">
        <v>1341.55</v>
      </c>
      <c r="I41">
        <v>1427.21</v>
      </c>
      <c r="J41" t="s">
        <v>17</v>
      </c>
      <c r="K41">
        <v>0.15</v>
      </c>
      <c r="L41" t="s">
        <v>31</v>
      </c>
      <c r="M41" t="s">
        <v>19</v>
      </c>
      <c r="N41" t="s">
        <v>45</v>
      </c>
      <c r="O41" t="str">
        <f t="shared" si="0"/>
        <v>Aug</v>
      </c>
      <c r="P41" t="str">
        <f t="shared" si="1"/>
        <v>Tuesday</v>
      </c>
      <c r="Q41">
        <f t="shared" si="2"/>
        <v>37630.477500000001</v>
      </c>
      <c r="R41">
        <f t="shared" si="3"/>
        <v>2826.7800000000025</v>
      </c>
      <c r="S41">
        <f t="shared" si="4"/>
        <v>2402.7630000000022</v>
      </c>
    </row>
    <row r="42" spans="1:19" x14ac:dyDescent="0.3">
      <c r="A42">
        <v>1062</v>
      </c>
      <c r="B42" s="1">
        <v>45001</v>
      </c>
      <c r="C42" t="s">
        <v>24</v>
      </c>
      <c r="D42" t="s">
        <v>21</v>
      </c>
      <c r="E42">
        <v>4195.0600000000004</v>
      </c>
      <c r="F42">
        <v>45</v>
      </c>
      <c r="G42" t="s">
        <v>16</v>
      </c>
      <c r="H42">
        <v>4849.6000000000004</v>
      </c>
      <c r="I42">
        <v>5166.72</v>
      </c>
      <c r="J42" t="s">
        <v>17</v>
      </c>
      <c r="K42">
        <v>0.25</v>
      </c>
      <c r="L42" t="s">
        <v>31</v>
      </c>
      <c r="M42" t="s">
        <v>19</v>
      </c>
      <c r="N42" t="s">
        <v>47</v>
      </c>
      <c r="O42" t="str">
        <f t="shared" si="0"/>
        <v>Mar</v>
      </c>
      <c r="P42" t="str">
        <f t="shared" si="1"/>
        <v>Thursday</v>
      </c>
      <c r="Q42">
        <f t="shared" si="2"/>
        <v>163674.00000000003</v>
      </c>
      <c r="R42">
        <f t="shared" si="3"/>
        <v>14270.399999999994</v>
      </c>
      <c r="S42">
        <f t="shared" si="4"/>
        <v>10702.799999999996</v>
      </c>
    </row>
    <row r="43" spans="1:19" x14ac:dyDescent="0.3">
      <c r="A43">
        <v>1051</v>
      </c>
      <c r="B43" s="1">
        <v>44930</v>
      </c>
      <c r="C43" t="s">
        <v>38</v>
      </c>
      <c r="D43" t="s">
        <v>15</v>
      </c>
      <c r="E43">
        <v>4979.3599999999997</v>
      </c>
      <c r="F43">
        <v>14</v>
      </c>
      <c r="G43" t="s">
        <v>35</v>
      </c>
      <c r="H43">
        <v>3686.81</v>
      </c>
      <c r="I43">
        <v>3710.92</v>
      </c>
      <c r="J43" t="s">
        <v>30</v>
      </c>
      <c r="K43">
        <v>0.1</v>
      </c>
      <c r="L43" t="s">
        <v>27</v>
      </c>
      <c r="M43" t="s">
        <v>22</v>
      </c>
      <c r="N43" t="s">
        <v>40</v>
      </c>
      <c r="O43" t="str">
        <f t="shared" si="0"/>
        <v>Jan</v>
      </c>
      <c r="P43" t="str">
        <f t="shared" si="1"/>
        <v>Wednesday</v>
      </c>
      <c r="Q43">
        <f t="shared" si="2"/>
        <v>46453.805999999997</v>
      </c>
      <c r="R43">
        <f t="shared" si="3"/>
        <v>337.54000000000178</v>
      </c>
      <c r="S43">
        <f t="shared" si="4"/>
        <v>303.78600000000159</v>
      </c>
    </row>
    <row r="44" spans="1:19" x14ac:dyDescent="0.3">
      <c r="A44">
        <v>1055</v>
      </c>
      <c r="B44" s="1">
        <v>45261</v>
      </c>
      <c r="C44" t="s">
        <v>33</v>
      </c>
      <c r="D44" t="s">
        <v>21</v>
      </c>
      <c r="E44">
        <v>4102.47</v>
      </c>
      <c r="F44">
        <v>8</v>
      </c>
      <c r="G44" t="s">
        <v>16</v>
      </c>
      <c r="H44">
        <v>3513</v>
      </c>
      <c r="I44">
        <v>3838.42</v>
      </c>
      <c r="J44" t="s">
        <v>17</v>
      </c>
      <c r="K44">
        <v>0.13</v>
      </c>
      <c r="L44" t="s">
        <v>27</v>
      </c>
      <c r="M44" t="s">
        <v>19</v>
      </c>
      <c r="N44" t="s">
        <v>37</v>
      </c>
      <c r="O44" t="str">
        <f t="shared" si="0"/>
        <v>Dec</v>
      </c>
      <c r="P44" t="str">
        <f t="shared" si="1"/>
        <v>Friday</v>
      </c>
      <c r="Q44">
        <f t="shared" si="2"/>
        <v>24450.48</v>
      </c>
      <c r="R44">
        <f t="shared" si="3"/>
        <v>2603.3600000000006</v>
      </c>
      <c r="S44">
        <f t="shared" si="4"/>
        <v>2264.9232000000006</v>
      </c>
    </row>
    <row r="45" spans="1:19" x14ac:dyDescent="0.3">
      <c r="A45">
        <v>1064</v>
      </c>
      <c r="B45" s="1">
        <v>45060</v>
      </c>
      <c r="C45" t="s">
        <v>14</v>
      </c>
      <c r="D45" t="s">
        <v>25</v>
      </c>
      <c r="E45">
        <v>5356.28</v>
      </c>
      <c r="F45">
        <v>8</v>
      </c>
      <c r="G45" t="s">
        <v>35</v>
      </c>
      <c r="H45">
        <v>4271.99</v>
      </c>
      <c r="I45">
        <v>4417.79</v>
      </c>
      <c r="J45" t="s">
        <v>17</v>
      </c>
      <c r="K45">
        <v>0.04</v>
      </c>
      <c r="L45" t="s">
        <v>18</v>
      </c>
      <c r="M45" t="s">
        <v>19</v>
      </c>
      <c r="N45" t="s">
        <v>32</v>
      </c>
      <c r="O45" t="str">
        <f t="shared" si="0"/>
        <v>May</v>
      </c>
      <c r="P45" t="str">
        <f t="shared" si="1"/>
        <v>Sunday</v>
      </c>
      <c r="Q45">
        <f t="shared" si="2"/>
        <v>32808.883199999997</v>
      </c>
      <c r="R45">
        <f t="shared" si="3"/>
        <v>1166.4000000000015</v>
      </c>
      <c r="S45">
        <f t="shared" si="4"/>
        <v>1119.7440000000013</v>
      </c>
    </row>
    <row r="46" spans="1:19" x14ac:dyDescent="0.3">
      <c r="A46">
        <v>1003</v>
      </c>
      <c r="B46" s="1">
        <v>45044</v>
      </c>
      <c r="C46" t="s">
        <v>33</v>
      </c>
      <c r="D46" t="s">
        <v>25</v>
      </c>
      <c r="E46">
        <v>5991.8</v>
      </c>
      <c r="F46">
        <v>27</v>
      </c>
      <c r="G46" t="s">
        <v>16</v>
      </c>
      <c r="H46">
        <v>623.32000000000005</v>
      </c>
      <c r="I46">
        <v>853.66</v>
      </c>
      <c r="J46" t="s">
        <v>17</v>
      </c>
      <c r="K46">
        <v>0.04</v>
      </c>
      <c r="L46" t="s">
        <v>18</v>
      </c>
      <c r="M46" t="s">
        <v>19</v>
      </c>
      <c r="N46" t="s">
        <v>44</v>
      </c>
      <c r="O46" t="str">
        <f t="shared" si="0"/>
        <v>Apr</v>
      </c>
      <c r="P46" t="str">
        <f t="shared" si="1"/>
        <v>Friday</v>
      </c>
      <c r="Q46">
        <f t="shared" si="2"/>
        <v>16156.454400000002</v>
      </c>
      <c r="R46">
        <f t="shared" si="3"/>
        <v>6219.1799999999976</v>
      </c>
      <c r="S46">
        <f t="shared" si="4"/>
        <v>5970.4127999999973</v>
      </c>
    </row>
    <row r="47" spans="1:19" x14ac:dyDescent="0.3">
      <c r="A47">
        <v>1051</v>
      </c>
      <c r="B47" s="1">
        <v>45020</v>
      </c>
      <c r="C47" t="s">
        <v>14</v>
      </c>
      <c r="D47" t="s">
        <v>34</v>
      </c>
      <c r="E47">
        <v>198.25</v>
      </c>
      <c r="F47">
        <v>12</v>
      </c>
      <c r="G47" t="s">
        <v>35</v>
      </c>
      <c r="H47">
        <v>3544.48</v>
      </c>
      <c r="I47">
        <v>3723.66</v>
      </c>
      <c r="J47" t="s">
        <v>17</v>
      </c>
      <c r="K47">
        <v>0.19</v>
      </c>
      <c r="L47" t="s">
        <v>18</v>
      </c>
      <c r="M47" t="s">
        <v>19</v>
      </c>
      <c r="N47" t="s">
        <v>46</v>
      </c>
      <c r="O47" t="str">
        <f t="shared" si="0"/>
        <v>Apr</v>
      </c>
      <c r="P47" t="str">
        <f t="shared" si="1"/>
        <v>Tuesday</v>
      </c>
      <c r="Q47">
        <f t="shared" si="2"/>
        <v>34452.345600000001</v>
      </c>
      <c r="R47">
        <f t="shared" si="3"/>
        <v>2150.159999999998</v>
      </c>
      <c r="S47">
        <f t="shared" si="4"/>
        <v>1741.6295999999986</v>
      </c>
    </row>
    <row r="48" spans="1:19" x14ac:dyDescent="0.3">
      <c r="A48">
        <v>1007</v>
      </c>
      <c r="B48" s="1">
        <v>44988</v>
      </c>
      <c r="C48" t="s">
        <v>38</v>
      </c>
      <c r="D48" t="s">
        <v>21</v>
      </c>
      <c r="E48">
        <v>4694.54</v>
      </c>
      <c r="F48">
        <v>1</v>
      </c>
      <c r="G48" t="s">
        <v>26</v>
      </c>
      <c r="H48">
        <v>2543.2600000000002</v>
      </c>
      <c r="I48">
        <v>2637.91</v>
      </c>
      <c r="J48" t="s">
        <v>17</v>
      </c>
      <c r="K48">
        <v>0.2</v>
      </c>
      <c r="L48" t="s">
        <v>31</v>
      </c>
      <c r="M48" t="s">
        <v>19</v>
      </c>
      <c r="N48" t="s">
        <v>41</v>
      </c>
      <c r="O48" t="str">
        <f t="shared" si="0"/>
        <v>Mar</v>
      </c>
      <c r="P48" t="str">
        <f t="shared" si="1"/>
        <v>Friday</v>
      </c>
      <c r="Q48">
        <f t="shared" si="2"/>
        <v>2034.6080000000002</v>
      </c>
      <c r="R48">
        <f t="shared" si="3"/>
        <v>94.649999999999636</v>
      </c>
      <c r="S48">
        <f t="shared" si="4"/>
        <v>75.719999999999715</v>
      </c>
    </row>
    <row r="49" spans="1:19" x14ac:dyDescent="0.3">
      <c r="A49">
        <v>1021</v>
      </c>
      <c r="B49" s="1">
        <v>45120</v>
      </c>
      <c r="C49" t="s">
        <v>14</v>
      </c>
      <c r="D49" t="s">
        <v>21</v>
      </c>
      <c r="E49">
        <v>9638.64</v>
      </c>
      <c r="F49">
        <v>43</v>
      </c>
      <c r="G49" t="s">
        <v>16</v>
      </c>
      <c r="H49">
        <v>4154.3</v>
      </c>
      <c r="I49">
        <v>4469.07</v>
      </c>
      <c r="J49" t="s">
        <v>17</v>
      </c>
      <c r="K49">
        <v>0.23</v>
      </c>
      <c r="L49" t="s">
        <v>18</v>
      </c>
      <c r="M49" t="s">
        <v>22</v>
      </c>
      <c r="N49" t="s">
        <v>23</v>
      </c>
      <c r="O49" t="str">
        <f t="shared" si="0"/>
        <v>Jul</v>
      </c>
      <c r="P49" t="str">
        <f t="shared" si="1"/>
        <v>Thursday</v>
      </c>
      <c r="Q49">
        <f t="shared" si="2"/>
        <v>137548.87299999999</v>
      </c>
      <c r="R49">
        <f t="shared" si="3"/>
        <v>13535.109999999979</v>
      </c>
      <c r="S49">
        <f t="shared" si="4"/>
        <v>10422.034699999984</v>
      </c>
    </row>
    <row r="50" spans="1:19" x14ac:dyDescent="0.3">
      <c r="A50">
        <v>1073</v>
      </c>
      <c r="B50" s="1">
        <v>45261</v>
      </c>
      <c r="C50" t="s">
        <v>24</v>
      </c>
      <c r="D50" t="s">
        <v>21</v>
      </c>
      <c r="E50">
        <v>5238.42</v>
      </c>
      <c r="F50">
        <v>40</v>
      </c>
      <c r="G50" t="s">
        <v>16</v>
      </c>
      <c r="H50">
        <v>2565.3000000000002</v>
      </c>
      <c r="I50">
        <v>3007.47</v>
      </c>
      <c r="J50" t="s">
        <v>17</v>
      </c>
      <c r="K50">
        <v>0.17</v>
      </c>
      <c r="L50" t="s">
        <v>31</v>
      </c>
      <c r="M50" t="s">
        <v>22</v>
      </c>
      <c r="N50" t="s">
        <v>47</v>
      </c>
      <c r="O50" t="str">
        <f t="shared" si="0"/>
        <v>Dec</v>
      </c>
      <c r="P50" t="str">
        <f t="shared" si="1"/>
        <v>Friday</v>
      </c>
      <c r="Q50">
        <f t="shared" si="2"/>
        <v>85167.959999999992</v>
      </c>
      <c r="R50">
        <f t="shared" si="3"/>
        <v>17686.799999999985</v>
      </c>
      <c r="S50">
        <f t="shared" si="4"/>
        <v>14680.043999999987</v>
      </c>
    </row>
    <row r="51" spans="1:19" x14ac:dyDescent="0.3">
      <c r="A51">
        <v>1039</v>
      </c>
      <c r="B51" s="1">
        <v>45129</v>
      </c>
      <c r="C51" t="s">
        <v>42</v>
      </c>
      <c r="D51" t="s">
        <v>34</v>
      </c>
      <c r="E51">
        <v>6807.67</v>
      </c>
      <c r="F51">
        <v>42</v>
      </c>
      <c r="G51" t="s">
        <v>29</v>
      </c>
      <c r="H51">
        <v>3120.19</v>
      </c>
      <c r="I51">
        <v>3600.14</v>
      </c>
      <c r="J51" t="s">
        <v>17</v>
      </c>
      <c r="K51">
        <v>0.19</v>
      </c>
      <c r="L51" t="s">
        <v>31</v>
      </c>
      <c r="M51" t="s">
        <v>22</v>
      </c>
      <c r="N51" t="s">
        <v>52</v>
      </c>
      <c r="O51" t="str">
        <f t="shared" si="0"/>
        <v>Jul</v>
      </c>
      <c r="P51" t="str">
        <f t="shared" si="1"/>
        <v>Saturday</v>
      </c>
      <c r="Q51">
        <f t="shared" si="2"/>
        <v>106148.86380000001</v>
      </c>
      <c r="R51">
        <f t="shared" si="3"/>
        <v>20157.899999999994</v>
      </c>
      <c r="S51">
        <f t="shared" si="4"/>
        <v>16327.898999999996</v>
      </c>
    </row>
    <row r="52" spans="1:19" x14ac:dyDescent="0.3">
      <c r="A52">
        <v>1018</v>
      </c>
      <c r="B52" s="1">
        <v>44952</v>
      </c>
      <c r="C52" t="s">
        <v>42</v>
      </c>
      <c r="D52" t="s">
        <v>34</v>
      </c>
      <c r="E52">
        <v>3187.45</v>
      </c>
      <c r="F52">
        <v>11</v>
      </c>
      <c r="G52" t="s">
        <v>29</v>
      </c>
      <c r="H52">
        <v>2414.8200000000002</v>
      </c>
      <c r="I52">
        <v>2519.0700000000002</v>
      </c>
      <c r="J52" t="s">
        <v>17</v>
      </c>
      <c r="K52">
        <v>0</v>
      </c>
      <c r="L52" t="s">
        <v>18</v>
      </c>
      <c r="M52" t="s">
        <v>19</v>
      </c>
      <c r="N52" t="s">
        <v>52</v>
      </c>
      <c r="O52" t="str">
        <f t="shared" si="0"/>
        <v>Jan</v>
      </c>
      <c r="P52" t="str">
        <f t="shared" si="1"/>
        <v>Thursday</v>
      </c>
      <c r="Q52">
        <f t="shared" si="2"/>
        <v>26563.02</v>
      </c>
      <c r="R52">
        <f t="shared" si="3"/>
        <v>1146.75</v>
      </c>
      <c r="S52">
        <f t="shared" si="4"/>
        <v>1146.75</v>
      </c>
    </row>
    <row r="53" spans="1:19" x14ac:dyDescent="0.3">
      <c r="A53">
        <v>1004</v>
      </c>
      <c r="B53" s="1">
        <v>45099</v>
      </c>
      <c r="C53" t="s">
        <v>38</v>
      </c>
      <c r="D53" t="s">
        <v>25</v>
      </c>
      <c r="E53">
        <v>7762.51</v>
      </c>
      <c r="F53">
        <v>39</v>
      </c>
      <c r="G53" t="s">
        <v>35</v>
      </c>
      <c r="H53">
        <v>2416.89</v>
      </c>
      <c r="I53">
        <v>2778.3999999999901</v>
      </c>
      <c r="J53" t="s">
        <v>17</v>
      </c>
      <c r="K53">
        <v>0.05</v>
      </c>
      <c r="L53" t="s">
        <v>18</v>
      </c>
      <c r="M53" t="s">
        <v>19</v>
      </c>
      <c r="N53" t="s">
        <v>39</v>
      </c>
      <c r="O53" t="str">
        <f t="shared" si="0"/>
        <v>Jun</v>
      </c>
      <c r="P53" t="str">
        <f t="shared" si="1"/>
        <v>Thursday</v>
      </c>
      <c r="Q53">
        <f t="shared" si="2"/>
        <v>89545.774499999985</v>
      </c>
      <c r="R53">
        <f t="shared" si="3"/>
        <v>14098.889999999617</v>
      </c>
      <c r="S53">
        <f t="shared" si="4"/>
        <v>13393.945499999636</v>
      </c>
    </row>
    <row r="54" spans="1:19" x14ac:dyDescent="0.3">
      <c r="A54">
        <v>1089</v>
      </c>
      <c r="B54" s="1">
        <v>45226</v>
      </c>
      <c r="C54" t="s">
        <v>24</v>
      </c>
      <c r="D54" t="s">
        <v>15</v>
      </c>
      <c r="E54">
        <v>7751.92</v>
      </c>
      <c r="F54">
        <v>43</v>
      </c>
      <c r="G54" t="s">
        <v>16</v>
      </c>
      <c r="H54">
        <v>3851.45</v>
      </c>
      <c r="I54">
        <v>4186.9799999999996</v>
      </c>
      <c r="J54" t="s">
        <v>17</v>
      </c>
      <c r="K54">
        <v>0.3</v>
      </c>
      <c r="L54" t="s">
        <v>31</v>
      </c>
      <c r="M54" t="s">
        <v>19</v>
      </c>
      <c r="N54" t="s">
        <v>45</v>
      </c>
      <c r="O54" t="str">
        <f t="shared" si="0"/>
        <v>Oct</v>
      </c>
      <c r="P54" t="str">
        <f t="shared" si="1"/>
        <v>Friday</v>
      </c>
      <c r="Q54">
        <f t="shared" si="2"/>
        <v>115928.64499999999</v>
      </c>
      <c r="R54">
        <f t="shared" si="3"/>
        <v>14427.78999999999</v>
      </c>
      <c r="S54">
        <f t="shared" si="4"/>
        <v>10099.452999999992</v>
      </c>
    </row>
    <row r="55" spans="1:19" x14ac:dyDescent="0.3">
      <c r="A55">
        <v>1060</v>
      </c>
      <c r="B55" s="1">
        <v>45059</v>
      </c>
      <c r="C55" t="s">
        <v>33</v>
      </c>
      <c r="D55" t="s">
        <v>21</v>
      </c>
      <c r="E55">
        <v>5260.83</v>
      </c>
      <c r="F55">
        <v>31</v>
      </c>
      <c r="G55" t="s">
        <v>35</v>
      </c>
      <c r="H55">
        <v>3161.4</v>
      </c>
      <c r="I55">
        <v>3339.66</v>
      </c>
      <c r="J55" t="s">
        <v>17</v>
      </c>
      <c r="K55">
        <v>0.02</v>
      </c>
      <c r="L55" t="s">
        <v>27</v>
      </c>
      <c r="M55" t="s">
        <v>19</v>
      </c>
      <c r="N55" t="s">
        <v>37</v>
      </c>
      <c r="O55" t="str">
        <f t="shared" si="0"/>
        <v>May</v>
      </c>
      <c r="P55" t="str">
        <f t="shared" si="1"/>
        <v>Saturday</v>
      </c>
      <c r="Q55">
        <f t="shared" si="2"/>
        <v>96043.332000000009</v>
      </c>
      <c r="R55">
        <f t="shared" si="3"/>
        <v>5526.0599999999922</v>
      </c>
      <c r="S55">
        <f t="shared" si="4"/>
        <v>5415.5387999999921</v>
      </c>
    </row>
    <row r="56" spans="1:19" x14ac:dyDescent="0.3">
      <c r="A56">
        <v>1014</v>
      </c>
      <c r="B56" s="1">
        <v>45252</v>
      </c>
      <c r="C56" t="s">
        <v>24</v>
      </c>
      <c r="D56" t="s">
        <v>21</v>
      </c>
      <c r="E56">
        <v>9762.5400000000009</v>
      </c>
      <c r="F56">
        <v>17</v>
      </c>
      <c r="G56" t="s">
        <v>26</v>
      </c>
      <c r="H56">
        <v>3184.65</v>
      </c>
      <c r="I56">
        <v>3204.01</v>
      </c>
      <c r="J56" t="s">
        <v>30</v>
      </c>
      <c r="K56">
        <v>0.2</v>
      </c>
      <c r="L56" t="s">
        <v>27</v>
      </c>
      <c r="M56" t="s">
        <v>19</v>
      </c>
      <c r="N56" t="s">
        <v>47</v>
      </c>
      <c r="O56" t="str">
        <f t="shared" si="0"/>
        <v>Nov</v>
      </c>
      <c r="P56" t="str">
        <f t="shared" si="1"/>
        <v>Wednesday</v>
      </c>
      <c r="Q56">
        <f t="shared" si="2"/>
        <v>43311.240000000005</v>
      </c>
      <c r="R56">
        <f t="shared" si="3"/>
        <v>329.12000000000216</v>
      </c>
      <c r="S56">
        <f t="shared" si="4"/>
        <v>263.29600000000175</v>
      </c>
    </row>
    <row r="57" spans="1:19" x14ac:dyDescent="0.3">
      <c r="A57">
        <v>1009</v>
      </c>
      <c r="B57" s="1">
        <v>45044</v>
      </c>
      <c r="C57" t="s">
        <v>42</v>
      </c>
      <c r="D57" t="s">
        <v>15</v>
      </c>
      <c r="E57">
        <v>1342.95</v>
      </c>
      <c r="F57">
        <v>33</v>
      </c>
      <c r="G57" t="s">
        <v>29</v>
      </c>
      <c r="H57">
        <v>2278.9</v>
      </c>
      <c r="I57">
        <v>2626.9</v>
      </c>
      <c r="J57" t="s">
        <v>30</v>
      </c>
      <c r="K57">
        <v>0.05</v>
      </c>
      <c r="L57" t="s">
        <v>31</v>
      </c>
      <c r="M57" t="s">
        <v>19</v>
      </c>
      <c r="N57" t="s">
        <v>49</v>
      </c>
      <c r="O57" t="str">
        <f t="shared" si="0"/>
        <v>Apr</v>
      </c>
      <c r="P57" t="str">
        <f t="shared" si="1"/>
        <v>Friday</v>
      </c>
      <c r="Q57">
        <f t="shared" si="2"/>
        <v>71443.514999999999</v>
      </c>
      <c r="R57">
        <f t="shared" si="3"/>
        <v>11484</v>
      </c>
      <c r="S57">
        <f t="shared" si="4"/>
        <v>10909.8</v>
      </c>
    </row>
    <row r="58" spans="1:19" x14ac:dyDescent="0.3">
      <c r="A58">
        <v>1090</v>
      </c>
      <c r="B58" s="1">
        <v>45250</v>
      </c>
      <c r="C58" t="s">
        <v>42</v>
      </c>
      <c r="D58" t="s">
        <v>21</v>
      </c>
      <c r="E58">
        <v>267.77999999999997</v>
      </c>
      <c r="F58">
        <v>32</v>
      </c>
      <c r="G58" t="s">
        <v>35</v>
      </c>
      <c r="H58">
        <v>2678.99</v>
      </c>
      <c r="I58">
        <v>3152.2799999999902</v>
      </c>
      <c r="J58" t="s">
        <v>17</v>
      </c>
      <c r="K58">
        <v>0.22</v>
      </c>
      <c r="L58" t="s">
        <v>18</v>
      </c>
      <c r="M58" t="s">
        <v>22</v>
      </c>
      <c r="N58" t="s">
        <v>51</v>
      </c>
      <c r="O58" t="str">
        <f t="shared" si="0"/>
        <v>Nov</v>
      </c>
      <c r="P58" t="str">
        <f t="shared" si="1"/>
        <v>Monday</v>
      </c>
      <c r="Q58">
        <f t="shared" si="2"/>
        <v>66867.590400000001</v>
      </c>
      <c r="R58">
        <f t="shared" si="3"/>
        <v>15145.279999999693</v>
      </c>
      <c r="S58">
        <f t="shared" si="4"/>
        <v>11813.318399999762</v>
      </c>
    </row>
    <row r="59" spans="1:19" x14ac:dyDescent="0.3">
      <c r="A59">
        <v>1053</v>
      </c>
      <c r="B59" s="1">
        <v>45201</v>
      </c>
      <c r="C59" t="s">
        <v>24</v>
      </c>
      <c r="D59" t="s">
        <v>34</v>
      </c>
      <c r="E59">
        <v>7724.57</v>
      </c>
      <c r="F59">
        <v>29</v>
      </c>
      <c r="G59" t="s">
        <v>35</v>
      </c>
      <c r="H59">
        <v>3741.3</v>
      </c>
      <c r="I59">
        <v>4061.04</v>
      </c>
      <c r="J59" t="s">
        <v>17</v>
      </c>
      <c r="K59">
        <v>0.21</v>
      </c>
      <c r="L59" t="s">
        <v>31</v>
      </c>
      <c r="M59" t="s">
        <v>19</v>
      </c>
      <c r="N59" t="s">
        <v>50</v>
      </c>
      <c r="O59" t="str">
        <f t="shared" si="0"/>
        <v>Oct</v>
      </c>
      <c r="P59" t="str">
        <f t="shared" si="1"/>
        <v>Monday</v>
      </c>
      <c r="Q59">
        <f t="shared" si="2"/>
        <v>85713.183000000019</v>
      </c>
      <c r="R59">
        <f t="shared" si="3"/>
        <v>9272.4599999999937</v>
      </c>
      <c r="S59">
        <f t="shared" si="4"/>
        <v>7325.2433999999957</v>
      </c>
    </row>
    <row r="60" spans="1:19" x14ac:dyDescent="0.3">
      <c r="A60">
        <v>1002</v>
      </c>
      <c r="B60" s="1">
        <v>45138</v>
      </c>
      <c r="C60" t="s">
        <v>24</v>
      </c>
      <c r="D60" t="s">
        <v>34</v>
      </c>
      <c r="E60">
        <v>8090.84</v>
      </c>
      <c r="F60">
        <v>21</v>
      </c>
      <c r="G60" t="s">
        <v>29</v>
      </c>
      <c r="H60">
        <v>4138.41</v>
      </c>
      <c r="I60">
        <v>4361.7</v>
      </c>
      <c r="J60" t="s">
        <v>17</v>
      </c>
      <c r="K60">
        <v>7.0000000000000007E-2</v>
      </c>
      <c r="L60" t="s">
        <v>31</v>
      </c>
      <c r="M60" t="s">
        <v>22</v>
      </c>
      <c r="N60" t="s">
        <v>50</v>
      </c>
      <c r="O60" t="str">
        <f t="shared" si="0"/>
        <v>Jul</v>
      </c>
      <c r="P60" t="str">
        <f t="shared" si="1"/>
        <v>Monday</v>
      </c>
      <c r="Q60">
        <f t="shared" si="2"/>
        <v>80823.147299999997</v>
      </c>
      <c r="R60">
        <f t="shared" si="3"/>
        <v>4689.0899999999992</v>
      </c>
      <c r="S60">
        <f t="shared" si="4"/>
        <v>4360.8536999999988</v>
      </c>
    </row>
    <row r="61" spans="1:19" x14ac:dyDescent="0.3">
      <c r="A61">
        <v>1084</v>
      </c>
      <c r="B61" s="1">
        <v>45151</v>
      </c>
      <c r="C61" t="s">
        <v>42</v>
      </c>
      <c r="D61" t="s">
        <v>21</v>
      </c>
      <c r="E61">
        <v>1290.05</v>
      </c>
      <c r="F61">
        <v>21</v>
      </c>
      <c r="G61" t="s">
        <v>16</v>
      </c>
      <c r="H61">
        <v>3497.98</v>
      </c>
      <c r="I61">
        <v>3765.31</v>
      </c>
      <c r="J61" t="s">
        <v>30</v>
      </c>
      <c r="K61">
        <v>0.08</v>
      </c>
      <c r="L61" t="s">
        <v>18</v>
      </c>
      <c r="M61" t="s">
        <v>19</v>
      </c>
      <c r="N61" t="s">
        <v>51</v>
      </c>
      <c r="O61" t="str">
        <f t="shared" si="0"/>
        <v>Aug</v>
      </c>
      <c r="P61" t="str">
        <f t="shared" si="1"/>
        <v>Sunday</v>
      </c>
      <c r="Q61">
        <f t="shared" si="2"/>
        <v>67580.973599999998</v>
      </c>
      <c r="R61">
        <f t="shared" si="3"/>
        <v>5613.9299999999985</v>
      </c>
      <c r="S61">
        <f t="shared" si="4"/>
        <v>5164.815599999999</v>
      </c>
    </row>
    <row r="62" spans="1:19" x14ac:dyDescent="0.3">
      <c r="A62">
        <v>1092</v>
      </c>
      <c r="B62" s="1">
        <v>44946</v>
      </c>
      <c r="C62" t="s">
        <v>33</v>
      </c>
      <c r="D62" t="s">
        <v>34</v>
      </c>
      <c r="E62">
        <v>2729.27</v>
      </c>
      <c r="F62">
        <v>40</v>
      </c>
      <c r="G62" t="s">
        <v>35</v>
      </c>
      <c r="H62">
        <v>4624.16</v>
      </c>
      <c r="I62">
        <v>4731.9799999999996</v>
      </c>
      <c r="J62" t="s">
        <v>30</v>
      </c>
      <c r="K62">
        <v>0.2</v>
      </c>
      <c r="L62" t="s">
        <v>27</v>
      </c>
      <c r="M62" t="s">
        <v>22</v>
      </c>
      <c r="N62" t="s">
        <v>36</v>
      </c>
      <c r="O62" t="str">
        <f t="shared" si="0"/>
        <v>Jan</v>
      </c>
      <c r="P62" t="str">
        <f t="shared" si="1"/>
        <v>Friday</v>
      </c>
      <c r="Q62">
        <f t="shared" si="2"/>
        <v>147973.12</v>
      </c>
      <c r="R62">
        <f t="shared" si="3"/>
        <v>4312.7999999999884</v>
      </c>
      <c r="S62">
        <f t="shared" si="4"/>
        <v>3450.2399999999907</v>
      </c>
    </row>
    <row r="63" spans="1:19" x14ac:dyDescent="0.3">
      <c r="A63">
        <v>1060</v>
      </c>
      <c r="B63" s="1">
        <v>45039</v>
      </c>
      <c r="C63" t="s">
        <v>38</v>
      </c>
      <c r="D63" t="s">
        <v>34</v>
      </c>
      <c r="E63">
        <v>273.77</v>
      </c>
      <c r="F63">
        <v>23</v>
      </c>
      <c r="G63" t="s">
        <v>29</v>
      </c>
      <c r="H63">
        <v>4110.6000000000004</v>
      </c>
      <c r="I63">
        <v>4488.37</v>
      </c>
      <c r="J63" t="s">
        <v>30</v>
      </c>
      <c r="K63">
        <v>0.12</v>
      </c>
      <c r="L63" t="s">
        <v>31</v>
      </c>
      <c r="M63" t="s">
        <v>19</v>
      </c>
      <c r="N63" t="s">
        <v>48</v>
      </c>
      <c r="O63" t="str">
        <f t="shared" si="0"/>
        <v>Apr</v>
      </c>
      <c r="P63" t="str">
        <f t="shared" si="1"/>
        <v>Sunday</v>
      </c>
      <c r="Q63">
        <f t="shared" si="2"/>
        <v>83198.544000000009</v>
      </c>
      <c r="R63">
        <f t="shared" si="3"/>
        <v>8688.7099999999882</v>
      </c>
      <c r="S63">
        <f t="shared" si="4"/>
        <v>7646.0647999999901</v>
      </c>
    </row>
    <row r="64" spans="1:19" x14ac:dyDescent="0.3">
      <c r="A64">
        <v>1071</v>
      </c>
      <c r="B64" s="1">
        <v>45066</v>
      </c>
      <c r="C64" t="s">
        <v>38</v>
      </c>
      <c r="D64" t="s">
        <v>21</v>
      </c>
      <c r="E64">
        <v>3003.76</v>
      </c>
      <c r="F64">
        <v>6</v>
      </c>
      <c r="G64" t="s">
        <v>16</v>
      </c>
      <c r="H64">
        <v>2831.23</v>
      </c>
      <c r="I64">
        <v>3206.98</v>
      </c>
      <c r="J64" t="s">
        <v>17</v>
      </c>
      <c r="K64">
        <v>0.06</v>
      </c>
      <c r="L64" t="s">
        <v>27</v>
      </c>
      <c r="M64" t="s">
        <v>22</v>
      </c>
      <c r="N64" t="s">
        <v>41</v>
      </c>
      <c r="O64" t="str">
        <f t="shared" si="0"/>
        <v>May</v>
      </c>
      <c r="P64" t="str">
        <f t="shared" si="1"/>
        <v>Saturday</v>
      </c>
      <c r="Q64">
        <f t="shared" si="2"/>
        <v>15968.137199999999</v>
      </c>
      <c r="R64">
        <f t="shared" si="3"/>
        <v>2254.5</v>
      </c>
      <c r="S64">
        <f t="shared" si="4"/>
        <v>2119.23</v>
      </c>
    </row>
    <row r="65" spans="1:19" x14ac:dyDescent="0.3">
      <c r="A65">
        <v>1044</v>
      </c>
      <c r="B65" s="1">
        <v>44973</v>
      </c>
      <c r="C65" t="s">
        <v>24</v>
      </c>
      <c r="D65" t="s">
        <v>25</v>
      </c>
      <c r="E65">
        <v>7754.1</v>
      </c>
      <c r="F65">
        <v>22</v>
      </c>
      <c r="G65" t="s">
        <v>26</v>
      </c>
      <c r="H65">
        <v>3373.46</v>
      </c>
      <c r="I65">
        <v>3454.76</v>
      </c>
      <c r="J65" t="s">
        <v>17</v>
      </c>
      <c r="K65">
        <v>0.22</v>
      </c>
      <c r="L65" t="s">
        <v>27</v>
      </c>
      <c r="M65" t="s">
        <v>22</v>
      </c>
      <c r="N65" t="s">
        <v>28</v>
      </c>
      <c r="O65" t="str">
        <f t="shared" si="0"/>
        <v>Feb</v>
      </c>
      <c r="P65" t="str">
        <f t="shared" si="1"/>
        <v>Thursday</v>
      </c>
      <c r="Q65">
        <f t="shared" si="2"/>
        <v>57888.573599999996</v>
      </c>
      <c r="R65">
        <f t="shared" si="3"/>
        <v>1788.600000000004</v>
      </c>
      <c r="S65">
        <f t="shared" si="4"/>
        <v>1395.1080000000031</v>
      </c>
    </row>
    <row r="66" spans="1:19"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c r="O66" t="str">
        <f t="shared" si="0"/>
        <v>Jan</v>
      </c>
      <c r="P66" t="str">
        <f t="shared" si="1"/>
        <v>Sunday</v>
      </c>
      <c r="Q66">
        <f t="shared" si="2"/>
        <v>167331.80299999999</v>
      </c>
      <c r="R66">
        <f t="shared" si="3"/>
        <v>16727.980000000003</v>
      </c>
      <c r="S66">
        <f t="shared" si="4"/>
        <v>15891.581000000002</v>
      </c>
    </row>
    <row r="67" spans="1:19" x14ac:dyDescent="0.3">
      <c r="A67">
        <v>1047</v>
      </c>
      <c r="B67" s="1">
        <v>45016</v>
      </c>
      <c r="C67" t="s">
        <v>42</v>
      </c>
      <c r="D67" t="s">
        <v>34</v>
      </c>
      <c r="E67">
        <v>3546.15</v>
      </c>
      <c r="F67">
        <v>37</v>
      </c>
      <c r="G67" t="s">
        <v>35</v>
      </c>
      <c r="H67">
        <v>3114.88</v>
      </c>
      <c r="I67">
        <v>3256.78</v>
      </c>
      <c r="J67" t="s">
        <v>17</v>
      </c>
      <c r="K67">
        <v>0.26</v>
      </c>
      <c r="L67" t="s">
        <v>31</v>
      </c>
      <c r="M67" t="s">
        <v>19</v>
      </c>
      <c r="N67" t="s">
        <v>52</v>
      </c>
      <c r="O67" t="str">
        <f t="shared" ref="O67:O130" si="5">TEXT(B67,"mmm")</f>
        <v>Mar</v>
      </c>
      <c r="P67" t="str">
        <f t="shared" ref="P67:P130" si="6">TEXT(B67,"dddd")</f>
        <v>Friday</v>
      </c>
      <c r="Q67">
        <f t="shared" ref="Q67:Q130" si="7">(F67*H67)*(1-K67)</f>
        <v>85285.414399999994</v>
      </c>
      <c r="R67">
        <f t="shared" ref="R67:R130" si="8">(I67-H67)*F67</f>
        <v>5250.3000000000029</v>
      </c>
      <c r="S67">
        <f t="shared" ref="S67:S130" si="9">((I67-H67)*F67)*(1-K67)</f>
        <v>3885.222000000002</v>
      </c>
    </row>
    <row r="68" spans="1:19" x14ac:dyDescent="0.3">
      <c r="A68">
        <v>1035</v>
      </c>
      <c r="B68" s="1">
        <v>45068</v>
      </c>
      <c r="C68" t="s">
        <v>42</v>
      </c>
      <c r="D68" t="s">
        <v>25</v>
      </c>
      <c r="E68">
        <v>3780.22</v>
      </c>
      <c r="F68">
        <v>45</v>
      </c>
      <c r="G68" t="s">
        <v>26</v>
      </c>
      <c r="H68">
        <v>4132.79</v>
      </c>
      <c r="I68">
        <v>4624.1000000000004</v>
      </c>
      <c r="J68" t="s">
        <v>30</v>
      </c>
      <c r="K68">
        <v>0.15</v>
      </c>
      <c r="L68" t="s">
        <v>31</v>
      </c>
      <c r="M68" t="s">
        <v>22</v>
      </c>
      <c r="N68" t="s">
        <v>43</v>
      </c>
      <c r="O68" t="str">
        <f t="shared" si="5"/>
        <v>May</v>
      </c>
      <c r="P68" t="str">
        <f t="shared" si="6"/>
        <v>Monday</v>
      </c>
      <c r="Q68">
        <f t="shared" si="7"/>
        <v>158079.2175</v>
      </c>
      <c r="R68">
        <f t="shared" si="8"/>
        <v>22108.950000000019</v>
      </c>
      <c r="S68">
        <f t="shared" si="9"/>
        <v>18792.607500000016</v>
      </c>
    </row>
    <row r="69" spans="1:19" x14ac:dyDescent="0.3">
      <c r="A69">
        <v>1078</v>
      </c>
      <c r="B69" s="1">
        <v>45246</v>
      </c>
      <c r="C69" t="s">
        <v>24</v>
      </c>
      <c r="D69" t="s">
        <v>34</v>
      </c>
      <c r="E69">
        <v>113.4</v>
      </c>
      <c r="F69">
        <v>8</v>
      </c>
      <c r="G69" t="s">
        <v>16</v>
      </c>
      <c r="H69">
        <v>3459.61</v>
      </c>
      <c r="I69">
        <v>3657.23</v>
      </c>
      <c r="J69" t="s">
        <v>17</v>
      </c>
      <c r="K69">
        <v>0.03</v>
      </c>
      <c r="L69" t="s">
        <v>27</v>
      </c>
      <c r="M69" t="s">
        <v>19</v>
      </c>
      <c r="N69" t="s">
        <v>50</v>
      </c>
      <c r="O69" t="str">
        <f t="shared" si="5"/>
        <v>Nov</v>
      </c>
      <c r="P69" t="str">
        <f t="shared" si="6"/>
        <v>Thursday</v>
      </c>
      <c r="Q69">
        <f t="shared" si="7"/>
        <v>26846.5736</v>
      </c>
      <c r="R69">
        <f t="shared" si="8"/>
        <v>1580.9599999999991</v>
      </c>
      <c r="S69">
        <f t="shared" si="9"/>
        <v>1533.5311999999992</v>
      </c>
    </row>
    <row r="70" spans="1:19" x14ac:dyDescent="0.3">
      <c r="A70">
        <v>1081</v>
      </c>
      <c r="B70" s="1">
        <v>44964</v>
      </c>
      <c r="C70" t="s">
        <v>24</v>
      </c>
      <c r="D70" t="s">
        <v>34</v>
      </c>
      <c r="E70">
        <v>3068.03</v>
      </c>
      <c r="F70">
        <v>41</v>
      </c>
      <c r="G70" t="s">
        <v>16</v>
      </c>
      <c r="H70">
        <v>2782.08</v>
      </c>
      <c r="I70">
        <v>2879.24</v>
      </c>
      <c r="J70" t="s">
        <v>30</v>
      </c>
      <c r="K70">
        <v>0.21</v>
      </c>
      <c r="L70" t="s">
        <v>27</v>
      </c>
      <c r="M70" t="s">
        <v>19</v>
      </c>
      <c r="N70" t="s">
        <v>50</v>
      </c>
      <c r="O70" t="str">
        <f t="shared" si="5"/>
        <v>Feb</v>
      </c>
      <c r="P70" t="str">
        <f t="shared" si="6"/>
        <v>Tuesday</v>
      </c>
      <c r="Q70">
        <f t="shared" si="7"/>
        <v>90111.571200000006</v>
      </c>
      <c r="R70">
        <f t="shared" si="8"/>
        <v>3983.559999999994</v>
      </c>
      <c r="S70">
        <f t="shared" si="9"/>
        <v>3147.0123999999955</v>
      </c>
    </row>
    <row r="71" spans="1:19" x14ac:dyDescent="0.3">
      <c r="A71">
        <v>1036</v>
      </c>
      <c r="B71" s="1">
        <v>45219</v>
      </c>
      <c r="C71" t="s">
        <v>24</v>
      </c>
      <c r="D71" t="s">
        <v>15</v>
      </c>
      <c r="E71">
        <v>6499.94</v>
      </c>
      <c r="F71">
        <v>49</v>
      </c>
      <c r="G71" t="s">
        <v>29</v>
      </c>
      <c r="H71">
        <v>1247.0999999999999</v>
      </c>
      <c r="I71">
        <v>1429.4399999999901</v>
      </c>
      <c r="J71" t="s">
        <v>30</v>
      </c>
      <c r="K71">
        <v>0.16</v>
      </c>
      <c r="L71" t="s">
        <v>18</v>
      </c>
      <c r="M71" t="s">
        <v>19</v>
      </c>
      <c r="N71" t="s">
        <v>45</v>
      </c>
      <c r="O71" t="str">
        <f t="shared" si="5"/>
        <v>Oct</v>
      </c>
      <c r="P71" t="str">
        <f t="shared" si="6"/>
        <v>Friday</v>
      </c>
      <c r="Q71">
        <f t="shared" si="7"/>
        <v>51330.635999999991</v>
      </c>
      <c r="R71">
        <f t="shared" si="8"/>
        <v>8934.659999999516</v>
      </c>
      <c r="S71">
        <f t="shared" si="9"/>
        <v>7505.1143999995929</v>
      </c>
    </row>
    <row r="72" spans="1:19" x14ac:dyDescent="0.3">
      <c r="A72">
        <v>1050</v>
      </c>
      <c r="B72" s="1">
        <v>45065</v>
      </c>
      <c r="C72" t="s">
        <v>33</v>
      </c>
      <c r="D72" t="s">
        <v>34</v>
      </c>
      <c r="E72">
        <v>9744.52</v>
      </c>
      <c r="F72">
        <v>35</v>
      </c>
      <c r="G72" t="s">
        <v>29</v>
      </c>
      <c r="H72">
        <v>2158.69</v>
      </c>
      <c r="I72">
        <v>2384.38</v>
      </c>
      <c r="J72" t="s">
        <v>17</v>
      </c>
      <c r="K72">
        <v>0.09</v>
      </c>
      <c r="L72" t="s">
        <v>27</v>
      </c>
      <c r="M72" t="s">
        <v>22</v>
      </c>
      <c r="N72" t="s">
        <v>36</v>
      </c>
      <c r="O72" t="str">
        <f t="shared" si="5"/>
        <v>May</v>
      </c>
      <c r="P72" t="str">
        <f t="shared" si="6"/>
        <v>Friday</v>
      </c>
      <c r="Q72">
        <f t="shared" si="7"/>
        <v>68754.276500000007</v>
      </c>
      <c r="R72">
        <f t="shared" si="8"/>
        <v>7899.1500000000015</v>
      </c>
      <c r="S72">
        <f t="shared" si="9"/>
        <v>7188.2265000000016</v>
      </c>
    </row>
    <row r="73" spans="1:19" x14ac:dyDescent="0.3">
      <c r="A73">
        <v>1004</v>
      </c>
      <c r="B73" s="1">
        <v>45282</v>
      </c>
      <c r="C73" t="s">
        <v>38</v>
      </c>
      <c r="D73" t="s">
        <v>15</v>
      </c>
      <c r="E73">
        <v>8485.9</v>
      </c>
      <c r="F73">
        <v>11</v>
      </c>
      <c r="G73" t="s">
        <v>29</v>
      </c>
      <c r="H73">
        <v>4840.33</v>
      </c>
      <c r="I73">
        <v>4884.29</v>
      </c>
      <c r="J73" t="s">
        <v>30</v>
      </c>
      <c r="K73">
        <v>0.13</v>
      </c>
      <c r="L73" t="s">
        <v>18</v>
      </c>
      <c r="M73" t="s">
        <v>19</v>
      </c>
      <c r="N73" t="s">
        <v>40</v>
      </c>
      <c r="O73" t="str">
        <f t="shared" si="5"/>
        <v>Dec</v>
      </c>
      <c r="P73" t="str">
        <f t="shared" si="6"/>
        <v>Friday</v>
      </c>
      <c r="Q73">
        <f t="shared" si="7"/>
        <v>46321.958099999996</v>
      </c>
      <c r="R73">
        <f t="shared" si="8"/>
        <v>483.5600000000004</v>
      </c>
      <c r="S73">
        <f t="shared" si="9"/>
        <v>420.69720000000035</v>
      </c>
    </row>
    <row r="74" spans="1:19" x14ac:dyDescent="0.3">
      <c r="A74">
        <v>1002</v>
      </c>
      <c r="B74" s="1">
        <v>45259</v>
      </c>
      <c r="C74" t="s">
        <v>24</v>
      </c>
      <c r="D74" t="s">
        <v>15</v>
      </c>
      <c r="E74">
        <v>333.59</v>
      </c>
      <c r="F74">
        <v>24</v>
      </c>
      <c r="G74" t="s">
        <v>16</v>
      </c>
      <c r="H74">
        <v>3305.94</v>
      </c>
      <c r="I74">
        <v>3599.27</v>
      </c>
      <c r="J74" t="s">
        <v>30</v>
      </c>
      <c r="K74">
        <v>0.09</v>
      </c>
      <c r="L74" t="s">
        <v>31</v>
      </c>
      <c r="M74" t="s">
        <v>22</v>
      </c>
      <c r="N74" t="s">
        <v>45</v>
      </c>
      <c r="O74" t="str">
        <f t="shared" si="5"/>
        <v>Nov</v>
      </c>
      <c r="P74" t="str">
        <f t="shared" si="6"/>
        <v>Wednesday</v>
      </c>
      <c r="Q74">
        <f t="shared" si="7"/>
        <v>72201.729600000006</v>
      </c>
      <c r="R74">
        <f t="shared" si="8"/>
        <v>7039.9199999999983</v>
      </c>
      <c r="S74">
        <f t="shared" si="9"/>
        <v>6406.3271999999988</v>
      </c>
    </row>
    <row r="75" spans="1:19" x14ac:dyDescent="0.3">
      <c r="A75">
        <v>1006</v>
      </c>
      <c r="B75" s="1">
        <v>45185</v>
      </c>
      <c r="C75" t="s">
        <v>14</v>
      </c>
      <c r="D75" t="s">
        <v>15</v>
      </c>
      <c r="E75">
        <v>8995.75</v>
      </c>
      <c r="F75">
        <v>49</v>
      </c>
      <c r="G75" t="s">
        <v>26</v>
      </c>
      <c r="H75">
        <v>2843.76</v>
      </c>
      <c r="I75">
        <v>3146.6</v>
      </c>
      <c r="J75" t="s">
        <v>30</v>
      </c>
      <c r="K75">
        <v>0.08</v>
      </c>
      <c r="L75" t="s">
        <v>18</v>
      </c>
      <c r="M75" t="s">
        <v>22</v>
      </c>
      <c r="N75" t="s">
        <v>20</v>
      </c>
      <c r="O75" t="str">
        <f t="shared" si="5"/>
        <v>Sep</v>
      </c>
      <c r="P75" t="str">
        <f t="shared" si="6"/>
        <v>Saturday</v>
      </c>
      <c r="Q75">
        <f t="shared" si="7"/>
        <v>128196.70080000002</v>
      </c>
      <c r="R75">
        <f t="shared" si="8"/>
        <v>14839.159999999985</v>
      </c>
      <c r="S75">
        <f t="shared" si="9"/>
        <v>13652.027199999988</v>
      </c>
    </row>
    <row r="76" spans="1:19" x14ac:dyDescent="0.3">
      <c r="A76">
        <v>1054</v>
      </c>
      <c r="B76" s="1">
        <v>45087</v>
      </c>
      <c r="C76" t="s">
        <v>14</v>
      </c>
      <c r="D76" t="s">
        <v>25</v>
      </c>
      <c r="E76">
        <v>7853.66</v>
      </c>
      <c r="F76">
        <v>21</v>
      </c>
      <c r="G76" t="s">
        <v>16</v>
      </c>
      <c r="H76">
        <v>4668.1400000000003</v>
      </c>
      <c r="I76">
        <v>5040.22</v>
      </c>
      <c r="J76" t="s">
        <v>30</v>
      </c>
      <c r="K76">
        <v>0.05</v>
      </c>
      <c r="L76" t="s">
        <v>27</v>
      </c>
      <c r="M76" t="s">
        <v>19</v>
      </c>
      <c r="N76" t="s">
        <v>32</v>
      </c>
      <c r="O76" t="str">
        <f t="shared" si="5"/>
        <v>Jun</v>
      </c>
      <c r="P76" t="str">
        <f t="shared" si="6"/>
        <v>Saturday</v>
      </c>
      <c r="Q76">
        <f t="shared" si="7"/>
        <v>93129.392999999996</v>
      </c>
      <c r="R76">
        <f t="shared" si="8"/>
        <v>7813.6799999999985</v>
      </c>
      <c r="S76">
        <f t="shared" si="9"/>
        <v>7422.9959999999983</v>
      </c>
    </row>
    <row r="77" spans="1:19" x14ac:dyDescent="0.3">
      <c r="A77">
        <v>1004</v>
      </c>
      <c r="B77" s="1">
        <v>45104</v>
      </c>
      <c r="C77" t="s">
        <v>42</v>
      </c>
      <c r="D77" t="s">
        <v>21</v>
      </c>
      <c r="E77">
        <v>7825.72</v>
      </c>
      <c r="F77">
        <v>2</v>
      </c>
      <c r="G77" t="s">
        <v>35</v>
      </c>
      <c r="H77">
        <v>2953.23</v>
      </c>
      <c r="I77">
        <v>2977.52</v>
      </c>
      <c r="J77" t="s">
        <v>17</v>
      </c>
      <c r="K77">
        <v>0.11</v>
      </c>
      <c r="L77" t="s">
        <v>31</v>
      </c>
      <c r="M77" t="s">
        <v>22</v>
      </c>
      <c r="N77" t="s">
        <v>51</v>
      </c>
      <c r="O77" t="str">
        <f t="shared" si="5"/>
        <v>Jun</v>
      </c>
      <c r="P77" t="str">
        <f t="shared" si="6"/>
        <v>Tuesday</v>
      </c>
      <c r="Q77">
        <f t="shared" si="7"/>
        <v>5256.7493999999997</v>
      </c>
      <c r="R77">
        <f t="shared" si="8"/>
        <v>48.579999999999927</v>
      </c>
      <c r="S77">
        <f t="shared" si="9"/>
        <v>43.236199999999933</v>
      </c>
    </row>
    <row r="78" spans="1:19" x14ac:dyDescent="0.3">
      <c r="A78">
        <v>1054</v>
      </c>
      <c r="B78" s="1">
        <v>44936</v>
      </c>
      <c r="C78" t="s">
        <v>38</v>
      </c>
      <c r="D78" t="s">
        <v>25</v>
      </c>
      <c r="E78">
        <v>4634.16</v>
      </c>
      <c r="F78">
        <v>40</v>
      </c>
      <c r="G78" t="s">
        <v>16</v>
      </c>
      <c r="H78">
        <v>2654.11</v>
      </c>
      <c r="I78">
        <v>2929.32</v>
      </c>
      <c r="J78" t="s">
        <v>17</v>
      </c>
      <c r="K78">
        <v>0.08</v>
      </c>
      <c r="L78" t="s">
        <v>18</v>
      </c>
      <c r="M78" t="s">
        <v>19</v>
      </c>
      <c r="N78" t="s">
        <v>39</v>
      </c>
      <c r="O78" t="str">
        <f t="shared" si="5"/>
        <v>Jan</v>
      </c>
      <c r="P78" t="str">
        <f t="shared" si="6"/>
        <v>Tuesday</v>
      </c>
      <c r="Q78">
        <f t="shared" si="7"/>
        <v>97671.248000000007</v>
      </c>
      <c r="R78">
        <f t="shared" si="8"/>
        <v>11008.400000000001</v>
      </c>
      <c r="S78">
        <f t="shared" si="9"/>
        <v>10127.728000000001</v>
      </c>
    </row>
    <row r="79" spans="1:19" x14ac:dyDescent="0.3">
      <c r="A79">
        <v>1093</v>
      </c>
      <c r="B79" s="1">
        <v>45187</v>
      </c>
      <c r="C79" t="s">
        <v>24</v>
      </c>
      <c r="D79" t="s">
        <v>21</v>
      </c>
      <c r="E79">
        <v>4040.25</v>
      </c>
      <c r="F79">
        <v>19</v>
      </c>
      <c r="G79" t="s">
        <v>35</v>
      </c>
      <c r="H79">
        <v>3808.59</v>
      </c>
      <c r="I79">
        <v>3844.51</v>
      </c>
      <c r="J79" t="s">
        <v>30</v>
      </c>
      <c r="K79">
        <v>0.21</v>
      </c>
      <c r="L79" t="s">
        <v>31</v>
      </c>
      <c r="M79" t="s">
        <v>19</v>
      </c>
      <c r="N79" t="s">
        <v>47</v>
      </c>
      <c r="O79" t="str">
        <f t="shared" si="5"/>
        <v>Sep</v>
      </c>
      <c r="P79" t="str">
        <f t="shared" si="6"/>
        <v>Monday</v>
      </c>
      <c r="Q79">
        <f t="shared" si="7"/>
        <v>57166.935900000004</v>
      </c>
      <c r="R79">
        <f t="shared" si="8"/>
        <v>682.48000000000138</v>
      </c>
      <c r="S79">
        <f t="shared" si="9"/>
        <v>539.15920000000108</v>
      </c>
    </row>
    <row r="80" spans="1:19" x14ac:dyDescent="0.3">
      <c r="A80">
        <v>1063</v>
      </c>
      <c r="B80" s="1">
        <v>45064</v>
      </c>
      <c r="C80" t="s">
        <v>14</v>
      </c>
      <c r="D80" t="s">
        <v>21</v>
      </c>
      <c r="E80">
        <v>3098.87</v>
      </c>
      <c r="F80">
        <v>39</v>
      </c>
      <c r="G80" t="s">
        <v>26</v>
      </c>
      <c r="H80">
        <v>3577.69</v>
      </c>
      <c r="I80">
        <v>3931.25</v>
      </c>
      <c r="J80" t="s">
        <v>17</v>
      </c>
      <c r="K80">
        <v>0.21</v>
      </c>
      <c r="L80" t="s">
        <v>18</v>
      </c>
      <c r="M80" t="s">
        <v>22</v>
      </c>
      <c r="N80" t="s">
        <v>23</v>
      </c>
      <c r="O80" t="str">
        <f t="shared" si="5"/>
        <v>May</v>
      </c>
      <c r="P80" t="str">
        <f t="shared" si="6"/>
        <v>Thursday</v>
      </c>
      <c r="Q80">
        <f t="shared" si="7"/>
        <v>110228.62890000001</v>
      </c>
      <c r="R80">
        <f t="shared" si="8"/>
        <v>13788.839999999998</v>
      </c>
      <c r="S80">
        <f t="shared" si="9"/>
        <v>10893.183599999998</v>
      </c>
    </row>
    <row r="81" spans="1:19" x14ac:dyDescent="0.3">
      <c r="A81">
        <v>1018</v>
      </c>
      <c r="B81" s="1">
        <v>45098</v>
      </c>
      <c r="C81" t="s">
        <v>38</v>
      </c>
      <c r="D81" t="s">
        <v>15</v>
      </c>
      <c r="E81">
        <v>750.38</v>
      </c>
      <c r="F81">
        <v>28</v>
      </c>
      <c r="G81" t="s">
        <v>29</v>
      </c>
      <c r="H81">
        <v>1006.14</v>
      </c>
      <c r="I81">
        <v>1043.45</v>
      </c>
      <c r="J81" t="s">
        <v>30</v>
      </c>
      <c r="K81">
        <v>0.15</v>
      </c>
      <c r="L81" t="s">
        <v>27</v>
      </c>
      <c r="M81" t="s">
        <v>22</v>
      </c>
      <c r="N81" t="s">
        <v>40</v>
      </c>
      <c r="O81" t="str">
        <f t="shared" si="5"/>
        <v>Jun</v>
      </c>
      <c r="P81" t="str">
        <f t="shared" si="6"/>
        <v>Wednesday</v>
      </c>
      <c r="Q81">
        <f t="shared" si="7"/>
        <v>23946.131999999998</v>
      </c>
      <c r="R81">
        <f t="shared" si="8"/>
        <v>1044.6800000000017</v>
      </c>
      <c r="S81">
        <f t="shared" si="9"/>
        <v>887.97800000000143</v>
      </c>
    </row>
    <row r="82" spans="1:19" x14ac:dyDescent="0.3">
      <c r="A82">
        <v>1090</v>
      </c>
      <c r="B82" s="1">
        <v>44939</v>
      </c>
      <c r="C82" t="s">
        <v>42</v>
      </c>
      <c r="D82" t="s">
        <v>34</v>
      </c>
      <c r="E82">
        <v>2359.5300000000002</v>
      </c>
      <c r="F82">
        <v>17</v>
      </c>
      <c r="G82" t="s">
        <v>29</v>
      </c>
      <c r="H82">
        <v>2382.98</v>
      </c>
      <c r="I82">
        <v>2839.73</v>
      </c>
      <c r="J82" t="s">
        <v>17</v>
      </c>
      <c r="K82">
        <v>0.23</v>
      </c>
      <c r="L82" t="s">
        <v>27</v>
      </c>
      <c r="M82" t="s">
        <v>22</v>
      </c>
      <c r="N82" t="s">
        <v>52</v>
      </c>
      <c r="O82" t="str">
        <f t="shared" si="5"/>
        <v>Jan</v>
      </c>
      <c r="P82" t="str">
        <f t="shared" si="6"/>
        <v>Friday</v>
      </c>
      <c r="Q82">
        <f t="shared" si="7"/>
        <v>31193.208200000005</v>
      </c>
      <c r="R82">
        <f t="shared" si="8"/>
        <v>7764.75</v>
      </c>
      <c r="S82">
        <f t="shared" si="9"/>
        <v>5978.8575000000001</v>
      </c>
    </row>
    <row r="83" spans="1:19" x14ac:dyDescent="0.3">
      <c r="A83">
        <v>1044</v>
      </c>
      <c r="B83" s="1">
        <v>45094</v>
      </c>
      <c r="C83" t="s">
        <v>33</v>
      </c>
      <c r="D83" t="s">
        <v>15</v>
      </c>
      <c r="E83">
        <v>2541.38</v>
      </c>
      <c r="F83">
        <v>6</v>
      </c>
      <c r="G83" t="s">
        <v>16</v>
      </c>
      <c r="H83">
        <v>2388.9499999999998</v>
      </c>
      <c r="I83">
        <v>2742.97</v>
      </c>
      <c r="J83" t="s">
        <v>17</v>
      </c>
      <c r="K83">
        <v>0.25</v>
      </c>
      <c r="L83" t="s">
        <v>31</v>
      </c>
      <c r="M83" t="s">
        <v>22</v>
      </c>
      <c r="N83" t="s">
        <v>53</v>
      </c>
      <c r="O83" t="str">
        <f t="shared" si="5"/>
        <v>Jun</v>
      </c>
      <c r="P83" t="str">
        <f t="shared" si="6"/>
        <v>Saturday</v>
      </c>
      <c r="Q83">
        <f t="shared" si="7"/>
        <v>10750.275</v>
      </c>
      <c r="R83">
        <f t="shared" si="8"/>
        <v>2124.12</v>
      </c>
      <c r="S83">
        <f t="shared" si="9"/>
        <v>1593.09</v>
      </c>
    </row>
    <row r="84" spans="1:19" x14ac:dyDescent="0.3">
      <c r="A84">
        <v>1034</v>
      </c>
      <c r="B84" s="1">
        <v>45056</v>
      </c>
      <c r="C84" t="s">
        <v>38</v>
      </c>
      <c r="D84" t="s">
        <v>34</v>
      </c>
      <c r="E84">
        <v>4892.3599999999997</v>
      </c>
      <c r="F84">
        <v>19</v>
      </c>
      <c r="G84" t="s">
        <v>29</v>
      </c>
      <c r="H84">
        <v>1922.21</v>
      </c>
      <c r="I84">
        <v>2180.83</v>
      </c>
      <c r="J84" t="s">
        <v>17</v>
      </c>
      <c r="K84">
        <v>0.17</v>
      </c>
      <c r="L84" t="s">
        <v>31</v>
      </c>
      <c r="M84" t="s">
        <v>22</v>
      </c>
      <c r="N84" t="s">
        <v>48</v>
      </c>
      <c r="O84" t="str">
        <f t="shared" si="5"/>
        <v>May</v>
      </c>
      <c r="P84" t="str">
        <f t="shared" si="6"/>
        <v>Wednesday</v>
      </c>
      <c r="Q84">
        <f t="shared" si="7"/>
        <v>30313.251699999997</v>
      </c>
      <c r="R84">
        <f t="shared" si="8"/>
        <v>4913.7799999999979</v>
      </c>
      <c r="S84">
        <f t="shared" si="9"/>
        <v>4078.437399999998</v>
      </c>
    </row>
    <row r="85" spans="1:19" x14ac:dyDescent="0.3">
      <c r="A85">
        <v>1074</v>
      </c>
      <c r="B85" s="1">
        <v>45010</v>
      </c>
      <c r="C85" t="s">
        <v>38</v>
      </c>
      <c r="D85" t="s">
        <v>21</v>
      </c>
      <c r="E85">
        <v>7499.7</v>
      </c>
      <c r="F85">
        <v>38</v>
      </c>
      <c r="G85" t="s">
        <v>26</v>
      </c>
      <c r="H85">
        <v>2610.6</v>
      </c>
      <c r="I85">
        <v>2836.94</v>
      </c>
      <c r="J85" t="s">
        <v>17</v>
      </c>
      <c r="K85">
        <v>0.19</v>
      </c>
      <c r="L85" t="s">
        <v>31</v>
      </c>
      <c r="M85" t="s">
        <v>19</v>
      </c>
      <c r="N85" t="s">
        <v>41</v>
      </c>
      <c r="O85" t="str">
        <f t="shared" si="5"/>
        <v>Mar</v>
      </c>
      <c r="P85" t="str">
        <f t="shared" si="6"/>
        <v>Saturday</v>
      </c>
      <c r="Q85">
        <f t="shared" si="7"/>
        <v>80354.268000000011</v>
      </c>
      <c r="R85">
        <f t="shared" si="8"/>
        <v>8600.9200000000055</v>
      </c>
      <c r="S85">
        <f t="shared" si="9"/>
        <v>6966.7452000000048</v>
      </c>
    </row>
    <row r="86" spans="1:19" x14ac:dyDescent="0.3">
      <c r="A86">
        <v>1062</v>
      </c>
      <c r="B86" s="1">
        <v>45247</v>
      </c>
      <c r="C86" t="s">
        <v>33</v>
      </c>
      <c r="D86" t="s">
        <v>15</v>
      </c>
      <c r="E86">
        <v>4790.72</v>
      </c>
      <c r="F86">
        <v>28</v>
      </c>
      <c r="G86" t="s">
        <v>29</v>
      </c>
      <c r="H86">
        <v>2094.88</v>
      </c>
      <c r="I86">
        <v>2168.91</v>
      </c>
      <c r="J86" t="s">
        <v>17</v>
      </c>
      <c r="K86">
        <v>0.08</v>
      </c>
      <c r="L86" t="s">
        <v>18</v>
      </c>
      <c r="M86" t="s">
        <v>22</v>
      </c>
      <c r="N86" t="s">
        <v>53</v>
      </c>
      <c r="O86" t="str">
        <f t="shared" si="5"/>
        <v>Nov</v>
      </c>
      <c r="P86" t="str">
        <f t="shared" si="6"/>
        <v>Friday</v>
      </c>
      <c r="Q86">
        <f t="shared" si="7"/>
        <v>53964.108800000002</v>
      </c>
      <c r="R86">
        <f t="shared" si="8"/>
        <v>2072.8399999999929</v>
      </c>
      <c r="S86">
        <f t="shared" si="9"/>
        <v>1907.0127999999936</v>
      </c>
    </row>
    <row r="87" spans="1:19" x14ac:dyDescent="0.3">
      <c r="A87">
        <v>1100</v>
      </c>
      <c r="B87" s="1">
        <v>45245</v>
      </c>
      <c r="C87" t="s">
        <v>38</v>
      </c>
      <c r="D87" t="s">
        <v>34</v>
      </c>
      <c r="E87">
        <v>672.66</v>
      </c>
      <c r="F87">
        <v>2</v>
      </c>
      <c r="G87" t="s">
        <v>16</v>
      </c>
      <c r="H87">
        <v>1036.76</v>
      </c>
      <c r="I87">
        <v>1189.3499999999999</v>
      </c>
      <c r="J87" t="s">
        <v>30</v>
      </c>
      <c r="K87">
        <v>0.27</v>
      </c>
      <c r="L87" t="s">
        <v>27</v>
      </c>
      <c r="M87" t="s">
        <v>19</v>
      </c>
      <c r="N87" t="s">
        <v>48</v>
      </c>
      <c r="O87" t="str">
        <f t="shared" si="5"/>
        <v>Nov</v>
      </c>
      <c r="P87" t="str">
        <f t="shared" si="6"/>
        <v>Wednesday</v>
      </c>
      <c r="Q87">
        <f t="shared" si="7"/>
        <v>1513.6695999999999</v>
      </c>
      <c r="R87">
        <f t="shared" si="8"/>
        <v>305.17999999999984</v>
      </c>
      <c r="S87">
        <f t="shared" si="9"/>
        <v>222.78139999999988</v>
      </c>
    </row>
    <row r="88" spans="1:19" x14ac:dyDescent="0.3">
      <c r="A88">
        <v>1014</v>
      </c>
      <c r="B88" s="1">
        <v>45027</v>
      </c>
      <c r="C88" t="s">
        <v>42</v>
      </c>
      <c r="D88" t="s">
        <v>25</v>
      </c>
      <c r="E88">
        <v>9582.1200000000008</v>
      </c>
      <c r="F88">
        <v>38</v>
      </c>
      <c r="G88" t="s">
        <v>26</v>
      </c>
      <c r="H88">
        <v>2091.21</v>
      </c>
      <c r="I88">
        <v>2527</v>
      </c>
      <c r="J88" t="s">
        <v>17</v>
      </c>
      <c r="K88">
        <v>0.01</v>
      </c>
      <c r="L88" t="s">
        <v>31</v>
      </c>
      <c r="M88" t="s">
        <v>19</v>
      </c>
      <c r="N88" t="s">
        <v>43</v>
      </c>
      <c r="O88" t="str">
        <f t="shared" si="5"/>
        <v>Apr</v>
      </c>
      <c r="P88" t="str">
        <f t="shared" si="6"/>
        <v>Tuesday</v>
      </c>
      <c r="Q88">
        <f t="shared" si="7"/>
        <v>78671.320200000002</v>
      </c>
      <c r="R88">
        <f t="shared" si="8"/>
        <v>16560.019999999997</v>
      </c>
      <c r="S88">
        <f t="shared" si="9"/>
        <v>16394.419799999996</v>
      </c>
    </row>
    <row r="89" spans="1:19" x14ac:dyDescent="0.3">
      <c r="A89">
        <v>1095</v>
      </c>
      <c r="B89" s="1">
        <v>45255</v>
      </c>
      <c r="C89" t="s">
        <v>42</v>
      </c>
      <c r="D89" t="s">
        <v>34</v>
      </c>
      <c r="E89">
        <v>9432.9699999999993</v>
      </c>
      <c r="F89">
        <v>37</v>
      </c>
      <c r="G89" t="s">
        <v>35</v>
      </c>
      <c r="H89">
        <v>407.77</v>
      </c>
      <c r="I89">
        <v>860.95</v>
      </c>
      <c r="J89" t="s">
        <v>30</v>
      </c>
      <c r="K89">
        <v>0.1</v>
      </c>
      <c r="L89" t="s">
        <v>31</v>
      </c>
      <c r="M89" t="s">
        <v>22</v>
      </c>
      <c r="N89" t="s">
        <v>52</v>
      </c>
      <c r="O89" t="str">
        <f t="shared" si="5"/>
        <v>Nov</v>
      </c>
      <c r="P89" t="str">
        <f t="shared" si="6"/>
        <v>Saturday</v>
      </c>
      <c r="Q89">
        <f t="shared" si="7"/>
        <v>13578.741</v>
      </c>
      <c r="R89">
        <f t="shared" si="8"/>
        <v>16767.660000000003</v>
      </c>
      <c r="S89">
        <f t="shared" si="9"/>
        <v>15090.894000000004</v>
      </c>
    </row>
    <row r="90" spans="1:19" x14ac:dyDescent="0.3">
      <c r="A90">
        <v>1048</v>
      </c>
      <c r="B90" s="1">
        <v>45199</v>
      </c>
      <c r="C90" t="s">
        <v>33</v>
      </c>
      <c r="D90" t="s">
        <v>15</v>
      </c>
      <c r="E90">
        <v>7873.38</v>
      </c>
      <c r="F90">
        <v>4</v>
      </c>
      <c r="G90" t="s">
        <v>16</v>
      </c>
      <c r="H90">
        <v>2900.14</v>
      </c>
      <c r="I90">
        <v>2910.5099999999902</v>
      </c>
      <c r="J90" t="s">
        <v>30</v>
      </c>
      <c r="K90">
        <v>0.22</v>
      </c>
      <c r="L90" t="s">
        <v>31</v>
      </c>
      <c r="M90" t="s">
        <v>22</v>
      </c>
      <c r="N90" t="s">
        <v>53</v>
      </c>
      <c r="O90" t="str">
        <f t="shared" si="5"/>
        <v>Sep</v>
      </c>
      <c r="P90" t="str">
        <f t="shared" si="6"/>
        <v>Saturday</v>
      </c>
      <c r="Q90">
        <f t="shared" si="7"/>
        <v>9048.4367999999995</v>
      </c>
      <c r="R90">
        <f t="shared" si="8"/>
        <v>41.479999999961365</v>
      </c>
      <c r="S90">
        <f t="shared" si="9"/>
        <v>32.354399999969864</v>
      </c>
    </row>
    <row r="91" spans="1:19" x14ac:dyDescent="0.3">
      <c r="A91">
        <v>1015</v>
      </c>
      <c r="B91" s="1">
        <v>45191</v>
      </c>
      <c r="C91" t="s">
        <v>24</v>
      </c>
      <c r="D91" t="s">
        <v>25</v>
      </c>
      <c r="E91">
        <v>9914.15</v>
      </c>
      <c r="F91">
        <v>22</v>
      </c>
      <c r="G91" t="s">
        <v>35</v>
      </c>
      <c r="H91">
        <v>4275.59</v>
      </c>
      <c r="I91">
        <v>4576.72</v>
      </c>
      <c r="J91" t="s">
        <v>17</v>
      </c>
      <c r="K91">
        <v>0.02</v>
      </c>
      <c r="L91" t="s">
        <v>18</v>
      </c>
      <c r="M91" t="s">
        <v>22</v>
      </c>
      <c r="N91" t="s">
        <v>28</v>
      </c>
      <c r="O91" t="str">
        <f t="shared" si="5"/>
        <v>Sep</v>
      </c>
      <c r="P91" t="str">
        <f t="shared" si="6"/>
        <v>Friday</v>
      </c>
      <c r="Q91">
        <f t="shared" si="7"/>
        <v>92181.720400000006</v>
      </c>
      <c r="R91">
        <f t="shared" si="8"/>
        <v>6624.8600000000024</v>
      </c>
      <c r="S91">
        <f t="shared" si="9"/>
        <v>6492.3628000000026</v>
      </c>
    </row>
    <row r="92" spans="1:19" x14ac:dyDescent="0.3">
      <c r="A92">
        <v>1072</v>
      </c>
      <c r="B92" s="1">
        <v>44964</v>
      </c>
      <c r="C92" t="s">
        <v>14</v>
      </c>
      <c r="D92" t="s">
        <v>34</v>
      </c>
      <c r="E92">
        <v>5490.38</v>
      </c>
      <c r="F92">
        <v>26</v>
      </c>
      <c r="G92" t="s">
        <v>26</v>
      </c>
      <c r="H92">
        <v>3640.17</v>
      </c>
      <c r="I92">
        <v>4002.63</v>
      </c>
      <c r="J92" t="s">
        <v>30</v>
      </c>
      <c r="K92">
        <v>0.05</v>
      </c>
      <c r="L92" t="s">
        <v>31</v>
      </c>
      <c r="M92" t="s">
        <v>22</v>
      </c>
      <c r="N92" t="s">
        <v>46</v>
      </c>
      <c r="O92" t="str">
        <f t="shared" si="5"/>
        <v>Feb</v>
      </c>
      <c r="P92" t="str">
        <f t="shared" si="6"/>
        <v>Tuesday</v>
      </c>
      <c r="Q92">
        <f t="shared" si="7"/>
        <v>89912.198999999993</v>
      </c>
      <c r="R92">
        <f t="shared" si="8"/>
        <v>9423.9600000000009</v>
      </c>
      <c r="S92">
        <f t="shared" si="9"/>
        <v>8952.7620000000006</v>
      </c>
    </row>
    <row r="93" spans="1:19" x14ac:dyDescent="0.3">
      <c r="A93">
        <v>1078</v>
      </c>
      <c r="B93" s="1">
        <v>45020</v>
      </c>
      <c r="C93" t="s">
        <v>24</v>
      </c>
      <c r="D93" t="s">
        <v>34</v>
      </c>
      <c r="E93">
        <v>9631.41</v>
      </c>
      <c r="F93">
        <v>49</v>
      </c>
      <c r="G93" t="s">
        <v>16</v>
      </c>
      <c r="H93">
        <v>1833.95</v>
      </c>
      <c r="I93">
        <v>2147.14</v>
      </c>
      <c r="J93" t="s">
        <v>17</v>
      </c>
      <c r="K93">
        <v>0.18</v>
      </c>
      <c r="L93" t="s">
        <v>31</v>
      </c>
      <c r="M93" t="s">
        <v>22</v>
      </c>
      <c r="N93" t="s">
        <v>50</v>
      </c>
      <c r="O93" t="str">
        <f t="shared" si="5"/>
        <v>Apr</v>
      </c>
      <c r="P93" t="str">
        <f t="shared" si="6"/>
        <v>Tuesday</v>
      </c>
      <c r="Q93">
        <f t="shared" si="7"/>
        <v>73688.111000000004</v>
      </c>
      <c r="R93">
        <f t="shared" si="8"/>
        <v>15346.309999999992</v>
      </c>
      <c r="S93">
        <f t="shared" si="9"/>
        <v>12583.974199999995</v>
      </c>
    </row>
    <row r="94" spans="1:19" x14ac:dyDescent="0.3">
      <c r="A94">
        <v>1087</v>
      </c>
      <c r="B94" s="1">
        <v>45021</v>
      </c>
      <c r="C94" t="s">
        <v>38</v>
      </c>
      <c r="D94" t="s">
        <v>34</v>
      </c>
      <c r="E94">
        <v>848.49</v>
      </c>
      <c r="F94">
        <v>43</v>
      </c>
      <c r="G94" t="s">
        <v>16</v>
      </c>
      <c r="H94">
        <v>481</v>
      </c>
      <c r="I94">
        <v>531.02</v>
      </c>
      <c r="J94" t="s">
        <v>30</v>
      </c>
      <c r="K94">
        <v>0.17</v>
      </c>
      <c r="L94" t="s">
        <v>18</v>
      </c>
      <c r="M94" t="s">
        <v>19</v>
      </c>
      <c r="N94" t="s">
        <v>48</v>
      </c>
      <c r="O94" t="str">
        <f t="shared" si="5"/>
        <v>Apr</v>
      </c>
      <c r="P94" t="str">
        <f t="shared" si="6"/>
        <v>Wednesday</v>
      </c>
      <c r="Q94">
        <f t="shared" si="7"/>
        <v>17166.89</v>
      </c>
      <c r="R94">
        <f t="shared" si="8"/>
        <v>2150.8599999999992</v>
      </c>
      <c r="S94">
        <f t="shared" si="9"/>
        <v>1785.2137999999993</v>
      </c>
    </row>
    <row r="95" spans="1:19" x14ac:dyDescent="0.3">
      <c r="A95">
        <v>1062</v>
      </c>
      <c r="B95" s="1">
        <v>45231</v>
      </c>
      <c r="C95" t="s">
        <v>14</v>
      </c>
      <c r="D95" t="s">
        <v>34</v>
      </c>
      <c r="E95">
        <v>3720.24</v>
      </c>
      <c r="F95">
        <v>36</v>
      </c>
      <c r="G95" t="s">
        <v>26</v>
      </c>
      <c r="H95">
        <v>1050.6400000000001</v>
      </c>
      <c r="I95">
        <v>1167.33</v>
      </c>
      <c r="J95" t="s">
        <v>30</v>
      </c>
      <c r="K95">
        <v>0.22</v>
      </c>
      <c r="L95" t="s">
        <v>18</v>
      </c>
      <c r="M95" t="s">
        <v>19</v>
      </c>
      <c r="N95" t="s">
        <v>46</v>
      </c>
      <c r="O95" t="str">
        <f t="shared" si="5"/>
        <v>Nov</v>
      </c>
      <c r="P95" t="str">
        <f t="shared" si="6"/>
        <v>Wednesday</v>
      </c>
      <c r="Q95">
        <f t="shared" si="7"/>
        <v>29501.9712</v>
      </c>
      <c r="R95">
        <f t="shared" si="8"/>
        <v>4200.8399999999938</v>
      </c>
      <c r="S95">
        <f t="shared" si="9"/>
        <v>3276.6551999999951</v>
      </c>
    </row>
    <row r="96" spans="1:19" x14ac:dyDescent="0.3">
      <c r="A96">
        <v>1040</v>
      </c>
      <c r="B96" s="1">
        <v>44995</v>
      </c>
      <c r="C96" t="s">
        <v>33</v>
      </c>
      <c r="D96" t="s">
        <v>34</v>
      </c>
      <c r="E96">
        <v>2331.27</v>
      </c>
      <c r="F96">
        <v>13</v>
      </c>
      <c r="G96" t="s">
        <v>29</v>
      </c>
      <c r="H96">
        <v>2750.18</v>
      </c>
      <c r="I96">
        <v>2882.85</v>
      </c>
      <c r="J96" t="s">
        <v>17</v>
      </c>
      <c r="K96">
        <v>0.24</v>
      </c>
      <c r="L96" t="s">
        <v>31</v>
      </c>
      <c r="M96" t="s">
        <v>19</v>
      </c>
      <c r="N96" t="s">
        <v>36</v>
      </c>
      <c r="O96" t="str">
        <f t="shared" si="5"/>
        <v>Mar</v>
      </c>
      <c r="P96" t="str">
        <f t="shared" si="6"/>
        <v>Friday</v>
      </c>
      <c r="Q96">
        <f t="shared" si="7"/>
        <v>27171.778399999999</v>
      </c>
      <c r="R96">
        <f t="shared" si="8"/>
        <v>1724.7100000000009</v>
      </c>
      <c r="S96">
        <f t="shared" si="9"/>
        <v>1310.7796000000008</v>
      </c>
    </row>
    <row r="97" spans="1:19" x14ac:dyDescent="0.3">
      <c r="A97">
        <v>1085</v>
      </c>
      <c r="B97" s="1">
        <v>45244</v>
      </c>
      <c r="C97" t="s">
        <v>33</v>
      </c>
      <c r="D97" t="s">
        <v>25</v>
      </c>
      <c r="E97">
        <v>2038.75</v>
      </c>
      <c r="F97">
        <v>32</v>
      </c>
      <c r="G97" t="s">
        <v>16</v>
      </c>
      <c r="H97">
        <v>1074.93</v>
      </c>
      <c r="I97">
        <v>1492.48</v>
      </c>
      <c r="J97" t="s">
        <v>17</v>
      </c>
      <c r="K97">
        <v>0.04</v>
      </c>
      <c r="L97" t="s">
        <v>31</v>
      </c>
      <c r="M97" t="s">
        <v>22</v>
      </c>
      <c r="N97" t="s">
        <v>44</v>
      </c>
      <c r="O97" t="str">
        <f t="shared" si="5"/>
        <v>Nov</v>
      </c>
      <c r="P97" t="str">
        <f t="shared" si="6"/>
        <v>Tuesday</v>
      </c>
      <c r="Q97">
        <f t="shared" si="7"/>
        <v>33021.849600000001</v>
      </c>
      <c r="R97">
        <f t="shared" si="8"/>
        <v>13361.599999999999</v>
      </c>
      <c r="S97">
        <f t="shared" si="9"/>
        <v>12827.135999999999</v>
      </c>
    </row>
    <row r="98" spans="1:19" x14ac:dyDescent="0.3">
      <c r="A98">
        <v>1080</v>
      </c>
      <c r="B98" s="1">
        <v>45162</v>
      </c>
      <c r="C98" t="s">
        <v>14</v>
      </c>
      <c r="D98" t="s">
        <v>21</v>
      </c>
      <c r="E98">
        <v>1493.95</v>
      </c>
      <c r="F98">
        <v>17</v>
      </c>
      <c r="G98" t="s">
        <v>16</v>
      </c>
      <c r="H98">
        <v>2742.67</v>
      </c>
      <c r="I98">
        <v>2979.64</v>
      </c>
      <c r="J98" t="s">
        <v>17</v>
      </c>
      <c r="K98">
        <v>0.01</v>
      </c>
      <c r="L98" t="s">
        <v>18</v>
      </c>
      <c r="M98" t="s">
        <v>22</v>
      </c>
      <c r="N98" t="s">
        <v>23</v>
      </c>
      <c r="O98" t="str">
        <f t="shared" si="5"/>
        <v>Aug</v>
      </c>
      <c r="P98" t="str">
        <f t="shared" si="6"/>
        <v>Thursday</v>
      </c>
      <c r="Q98">
        <f t="shared" si="7"/>
        <v>46159.136099999996</v>
      </c>
      <c r="R98">
        <f t="shared" si="8"/>
        <v>4028.4899999999966</v>
      </c>
      <c r="S98">
        <f t="shared" si="9"/>
        <v>3988.2050999999965</v>
      </c>
    </row>
    <row r="99" spans="1:19" x14ac:dyDescent="0.3">
      <c r="A99">
        <v>1082</v>
      </c>
      <c r="B99" s="1">
        <v>45260</v>
      </c>
      <c r="C99" t="s">
        <v>42</v>
      </c>
      <c r="D99" t="s">
        <v>25</v>
      </c>
      <c r="E99">
        <v>6261.9</v>
      </c>
      <c r="F99">
        <v>41</v>
      </c>
      <c r="G99" t="s">
        <v>35</v>
      </c>
      <c r="H99">
        <v>1196.42</v>
      </c>
      <c r="I99">
        <v>1444.97</v>
      </c>
      <c r="J99" t="s">
        <v>17</v>
      </c>
      <c r="K99">
        <v>0.21</v>
      </c>
      <c r="L99" t="s">
        <v>27</v>
      </c>
      <c r="M99" t="s">
        <v>19</v>
      </c>
      <c r="N99" t="s">
        <v>43</v>
      </c>
      <c r="O99" t="str">
        <f t="shared" si="5"/>
        <v>Nov</v>
      </c>
      <c r="P99" t="str">
        <f t="shared" si="6"/>
        <v>Thursday</v>
      </c>
      <c r="Q99">
        <f t="shared" si="7"/>
        <v>38752.043799999999</v>
      </c>
      <c r="R99">
        <f t="shared" si="8"/>
        <v>10190.549999999997</v>
      </c>
      <c r="S99">
        <f t="shared" si="9"/>
        <v>8050.5344999999979</v>
      </c>
    </row>
    <row r="100" spans="1:19"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c r="O100" t="str">
        <f t="shared" si="5"/>
        <v>May</v>
      </c>
      <c r="P100" t="str">
        <f t="shared" si="6"/>
        <v>Wednesday</v>
      </c>
      <c r="Q100">
        <f t="shared" si="7"/>
        <v>139301.08919999999</v>
      </c>
      <c r="R100">
        <f t="shared" si="8"/>
        <v>16851.600000000013</v>
      </c>
      <c r="S100">
        <f t="shared" si="9"/>
        <v>15334.956000000013</v>
      </c>
    </row>
    <row r="101" spans="1:19" x14ac:dyDescent="0.3">
      <c r="A101">
        <v>1024</v>
      </c>
      <c r="B101" s="1">
        <v>45002</v>
      </c>
      <c r="C101" t="s">
        <v>38</v>
      </c>
      <c r="D101" t="s">
        <v>25</v>
      </c>
      <c r="E101">
        <v>5825.15</v>
      </c>
      <c r="F101">
        <v>46</v>
      </c>
      <c r="G101" t="s">
        <v>35</v>
      </c>
      <c r="H101">
        <v>2016.49</v>
      </c>
      <c r="I101">
        <v>2338.66</v>
      </c>
      <c r="J101" t="s">
        <v>17</v>
      </c>
      <c r="K101">
        <v>0.19</v>
      </c>
      <c r="L101" t="s">
        <v>27</v>
      </c>
      <c r="M101" t="s">
        <v>22</v>
      </c>
      <c r="N101" t="s">
        <v>39</v>
      </c>
      <c r="O101" t="str">
        <f t="shared" si="5"/>
        <v>Mar</v>
      </c>
      <c r="P101" t="str">
        <f t="shared" si="6"/>
        <v>Friday</v>
      </c>
      <c r="Q101">
        <f t="shared" si="7"/>
        <v>75134.417400000006</v>
      </c>
      <c r="R101">
        <f t="shared" si="8"/>
        <v>14819.819999999992</v>
      </c>
      <c r="S101">
        <f t="shared" si="9"/>
        <v>12004.054199999995</v>
      </c>
    </row>
    <row r="102" spans="1:19" x14ac:dyDescent="0.3">
      <c r="A102">
        <v>1026</v>
      </c>
      <c r="B102" s="1">
        <v>44961</v>
      </c>
      <c r="C102" t="s">
        <v>42</v>
      </c>
      <c r="D102" t="s">
        <v>21</v>
      </c>
      <c r="E102">
        <v>1554.93</v>
      </c>
      <c r="F102">
        <v>19</v>
      </c>
      <c r="G102" t="s">
        <v>35</v>
      </c>
      <c r="H102">
        <v>1265.48</v>
      </c>
      <c r="I102">
        <v>1715.83</v>
      </c>
      <c r="J102" t="s">
        <v>30</v>
      </c>
      <c r="K102">
        <v>0.05</v>
      </c>
      <c r="L102" t="s">
        <v>31</v>
      </c>
      <c r="M102" t="s">
        <v>22</v>
      </c>
      <c r="N102" t="s">
        <v>51</v>
      </c>
      <c r="O102" t="str">
        <f t="shared" si="5"/>
        <v>Feb</v>
      </c>
      <c r="P102" t="str">
        <f t="shared" si="6"/>
        <v>Saturday</v>
      </c>
      <c r="Q102">
        <f t="shared" si="7"/>
        <v>22841.913999999997</v>
      </c>
      <c r="R102">
        <f t="shared" si="8"/>
        <v>8556.6499999999978</v>
      </c>
      <c r="S102">
        <f t="shared" si="9"/>
        <v>8128.8174999999974</v>
      </c>
    </row>
    <row r="103" spans="1:19"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c r="O103" t="str">
        <f t="shared" si="5"/>
        <v>Jan</v>
      </c>
      <c r="P103" t="str">
        <f t="shared" si="6"/>
        <v>Sunday</v>
      </c>
      <c r="Q103">
        <f t="shared" si="7"/>
        <v>122537.401</v>
      </c>
      <c r="R103">
        <f t="shared" si="8"/>
        <v>8179.149999999986</v>
      </c>
      <c r="S103">
        <f t="shared" si="9"/>
        <v>7034.0689999999877</v>
      </c>
    </row>
    <row r="104" spans="1:19" x14ac:dyDescent="0.3">
      <c r="A104">
        <v>1060</v>
      </c>
      <c r="B104" s="1">
        <v>45222</v>
      </c>
      <c r="C104" t="s">
        <v>14</v>
      </c>
      <c r="D104" t="s">
        <v>21</v>
      </c>
      <c r="E104">
        <v>6395.95</v>
      </c>
      <c r="F104">
        <v>46</v>
      </c>
      <c r="G104" t="s">
        <v>29</v>
      </c>
      <c r="H104">
        <v>1747.05</v>
      </c>
      <c r="I104">
        <v>1830.27</v>
      </c>
      <c r="J104" t="s">
        <v>30</v>
      </c>
      <c r="K104">
        <v>0.15</v>
      </c>
      <c r="L104" t="s">
        <v>27</v>
      </c>
      <c r="M104" t="s">
        <v>22</v>
      </c>
      <c r="N104" t="s">
        <v>23</v>
      </c>
      <c r="O104" t="str">
        <f t="shared" si="5"/>
        <v>Oct</v>
      </c>
      <c r="P104" t="str">
        <f t="shared" si="6"/>
        <v>Monday</v>
      </c>
      <c r="Q104">
        <f t="shared" si="7"/>
        <v>68309.654999999999</v>
      </c>
      <c r="R104">
        <f t="shared" si="8"/>
        <v>3828.1200000000013</v>
      </c>
      <c r="S104">
        <f t="shared" si="9"/>
        <v>3253.902000000001</v>
      </c>
    </row>
    <row r="105" spans="1:19" x14ac:dyDescent="0.3">
      <c r="A105">
        <v>1041</v>
      </c>
      <c r="B105" s="1">
        <v>45246</v>
      </c>
      <c r="C105" t="s">
        <v>24</v>
      </c>
      <c r="D105" t="s">
        <v>25</v>
      </c>
      <c r="E105">
        <v>3942.84</v>
      </c>
      <c r="F105">
        <v>40</v>
      </c>
      <c r="G105" t="s">
        <v>26</v>
      </c>
      <c r="H105">
        <v>601.86</v>
      </c>
      <c r="I105">
        <v>1067.53</v>
      </c>
      <c r="J105" t="s">
        <v>30</v>
      </c>
      <c r="K105">
        <v>0.18</v>
      </c>
      <c r="L105" t="s">
        <v>18</v>
      </c>
      <c r="M105" t="s">
        <v>19</v>
      </c>
      <c r="N105" t="s">
        <v>28</v>
      </c>
      <c r="O105" t="str">
        <f t="shared" si="5"/>
        <v>Nov</v>
      </c>
      <c r="P105" t="str">
        <f t="shared" si="6"/>
        <v>Thursday</v>
      </c>
      <c r="Q105">
        <f t="shared" si="7"/>
        <v>19741.008000000002</v>
      </c>
      <c r="R105">
        <f t="shared" si="8"/>
        <v>18626.8</v>
      </c>
      <c r="S105">
        <f t="shared" si="9"/>
        <v>15273.976000000001</v>
      </c>
    </row>
    <row r="106" spans="1:19" x14ac:dyDescent="0.3">
      <c r="A106">
        <v>1029</v>
      </c>
      <c r="B106" s="1">
        <v>44986</v>
      </c>
      <c r="C106" t="s">
        <v>24</v>
      </c>
      <c r="D106" t="s">
        <v>34</v>
      </c>
      <c r="E106">
        <v>6773.89</v>
      </c>
      <c r="F106">
        <v>28</v>
      </c>
      <c r="G106" t="s">
        <v>29</v>
      </c>
      <c r="H106">
        <v>2873.53</v>
      </c>
      <c r="I106">
        <v>3108.3</v>
      </c>
      <c r="J106" t="s">
        <v>30</v>
      </c>
      <c r="K106">
        <v>0.15</v>
      </c>
      <c r="L106" t="s">
        <v>31</v>
      </c>
      <c r="M106" t="s">
        <v>22</v>
      </c>
      <c r="N106" t="s">
        <v>50</v>
      </c>
      <c r="O106" t="str">
        <f t="shared" si="5"/>
        <v>Mar</v>
      </c>
      <c r="P106" t="str">
        <f t="shared" si="6"/>
        <v>Wednesday</v>
      </c>
      <c r="Q106">
        <f t="shared" si="7"/>
        <v>68390.01400000001</v>
      </c>
      <c r="R106">
        <f t="shared" si="8"/>
        <v>6573.5599999999995</v>
      </c>
      <c r="S106">
        <f t="shared" si="9"/>
        <v>5587.5259999999998</v>
      </c>
    </row>
    <row r="107" spans="1:19" x14ac:dyDescent="0.3">
      <c r="A107">
        <v>1015</v>
      </c>
      <c r="B107" s="1">
        <v>45246</v>
      </c>
      <c r="C107" t="s">
        <v>38</v>
      </c>
      <c r="D107" t="s">
        <v>34</v>
      </c>
      <c r="E107">
        <v>2673.06</v>
      </c>
      <c r="F107">
        <v>1</v>
      </c>
      <c r="G107" t="s">
        <v>16</v>
      </c>
      <c r="H107">
        <v>2928.74</v>
      </c>
      <c r="I107">
        <v>3027.74</v>
      </c>
      <c r="J107" t="s">
        <v>30</v>
      </c>
      <c r="K107">
        <v>0.15</v>
      </c>
      <c r="L107" t="s">
        <v>27</v>
      </c>
      <c r="M107" t="s">
        <v>22</v>
      </c>
      <c r="N107" t="s">
        <v>48</v>
      </c>
      <c r="O107" t="str">
        <f t="shared" si="5"/>
        <v>Nov</v>
      </c>
      <c r="P107" t="str">
        <f t="shared" si="6"/>
        <v>Thursday</v>
      </c>
      <c r="Q107">
        <f t="shared" si="7"/>
        <v>2489.4289999999996</v>
      </c>
      <c r="R107">
        <f t="shared" si="8"/>
        <v>99</v>
      </c>
      <c r="S107">
        <f t="shared" si="9"/>
        <v>84.149999999999991</v>
      </c>
    </row>
    <row r="108" spans="1:19" x14ac:dyDescent="0.3">
      <c r="A108">
        <v>1045</v>
      </c>
      <c r="B108" s="1">
        <v>45275</v>
      </c>
      <c r="C108" t="s">
        <v>24</v>
      </c>
      <c r="D108" t="s">
        <v>25</v>
      </c>
      <c r="E108">
        <v>3517.4</v>
      </c>
      <c r="F108">
        <v>42</v>
      </c>
      <c r="G108" t="s">
        <v>29</v>
      </c>
      <c r="H108">
        <v>3587.74</v>
      </c>
      <c r="I108">
        <v>3745.91</v>
      </c>
      <c r="J108" t="s">
        <v>17</v>
      </c>
      <c r="K108">
        <v>0.1</v>
      </c>
      <c r="L108" t="s">
        <v>18</v>
      </c>
      <c r="M108" t="s">
        <v>19</v>
      </c>
      <c r="N108" t="s">
        <v>28</v>
      </c>
      <c r="O108" t="str">
        <f t="shared" si="5"/>
        <v>Dec</v>
      </c>
      <c r="P108" t="str">
        <f t="shared" si="6"/>
        <v>Friday</v>
      </c>
      <c r="Q108">
        <f t="shared" si="7"/>
        <v>135616.57199999999</v>
      </c>
      <c r="R108">
        <f t="shared" si="8"/>
        <v>6643.1400000000031</v>
      </c>
      <c r="S108">
        <f t="shared" si="9"/>
        <v>5978.8260000000028</v>
      </c>
    </row>
    <row r="109" spans="1:19"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c r="O109" t="str">
        <f t="shared" si="5"/>
        <v>Nov</v>
      </c>
      <c r="P109" t="str">
        <f t="shared" si="6"/>
        <v>Friday</v>
      </c>
      <c r="Q109">
        <f t="shared" si="7"/>
        <v>21857.547599999998</v>
      </c>
      <c r="R109">
        <f t="shared" si="8"/>
        <v>628.0200000000018</v>
      </c>
      <c r="S109">
        <f t="shared" si="9"/>
        <v>615.45960000000173</v>
      </c>
    </row>
    <row r="110" spans="1:19" x14ac:dyDescent="0.3">
      <c r="A110">
        <v>1089</v>
      </c>
      <c r="B110" s="1">
        <v>45193</v>
      </c>
      <c r="C110" t="s">
        <v>14</v>
      </c>
      <c r="D110" t="s">
        <v>25</v>
      </c>
      <c r="E110">
        <v>2975.99</v>
      </c>
      <c r="F110">
        <v>48</v>
      </c>
      <c r="G110" t="s">
        <v>26</v>
      </c>
      <c r="H110">
        <v>2246.67</v>
      </c>
      <c r="I110">
        <v>2486.14</v>
      </c>
      <c r="J110" t="s">
        <v>30</v>
      </c>
      <c r="K110">
        <v>0.03</v>
      </c>
      <c r="L110" t="s">
        <v>18</v>
      </c>
      <c r="M110" t="s">
        <v>22</v>
      </c>
      <c r="N110" t="s">
        <v>32</v>
      </c>
      <c r="O110" t="str">
        <f t="shared" si="5"/>
        <v>Sep</v>
      </c>
      <c r="P110" t="str">
        <f t="shared" si="6"/>
        <v>Sunday</v>
      </c>
      <c r="Q110">
        <f t="shared" si="7"/>
        <v>104604.9552</v>
      </c>
      <c r="R110">
        <f t="shared" si="8"/>
        <v>11494.55999999999</v>
      </c>
      <c r="S110">
        <f t="shared" si="9"/>
        <v>11149.723199999991</v>
      </c>
    </row>
    <row r="111" spans="1:19" x14ac:dyDescent="0.3">
      <c r="A111">
        <v>1071</v>
      </c>
      <c r="B111" s="1">
        <v>45287</v>
      </c>
      <c r="C111" t="s">
        <v>24</v>
      </c>
      <c r="D111" t="s">
        <v>34</v>
      </c>
      <c r="E111">
        <v>4752.88</v>
      </c>
      <c r="F111">
        <v>40</v>
      </c>
      <c r="G111" t="s">
        <v>26</v>
      </c>
      <c r="H111">
        <v>1447.72</v>
      </c>
      <c r="I111">
        <v>1875.75</v>
      </c>
      <c r="J111" t="s">
        <v>30</v>
      </c>
      <c r="K111">
        <v>0.13</v>
      </c>
      <c r="L111" t="s">
        <v>18</v>
      </c>
      <c r="M111" t="s">
        <v>22</v>
      </c>
      <c r="N111" t="s">
        <v>50</v>
      </c>
      <c r="O111" t="str">
        <f t="shared" si="5"/>
        <v>Dec</v>
      </c>
      <c r="P111" t="str">
        <f t="shared" si="6"/>
        <v>Wednesday</v>
      </c>
      <c r="Q111">
        <f t="shared" si="7"/>
        <v>50380.656000000003</v>
      </c>
      <c r="R111">
        <f t="shared" si="8"/>
        <v>17121.199999999997</v>
      </c>
      <c r="S111">
        <f t="shared" si="9"/>
        <v>14895.443999999998</v>
      </c>
    </row>
    <row r="112" spans="1:19" x14ac:dyDescent="0.3">
      <c r="A112">
        <v>1009</v>
      </c>
      <c r="B112" s="1">
        <v>45155</v>
      </c>
      <c r="C112" t="s">
        <v>14</v>
      </c>
      <c r="D112" t="s">
        <v>21</v>
      </c>
      <c r="E112">
        <v>8912.4</v>
      </c>
      <c r="F112">
        <v>33</v>
      </c>
      <c r="G112" t="s">
        <v>29</v>
      </c>
      <c r="H112">
        <v>450.72</v>
      </c>
      <c r="I112">
        <v>918.17</v>
      </c>
      <c r="J112" t="s">
        <v>17</v>
      </c>
      <c r="K112">
        <v>0.11</v>
      </c>
      <c r="L112" t="s">
        <v>18</v>
      </c>
      <c r="M112" t="s">
        <v>19</v>
      </c>
      <c r="N112" t="s">
        <v>23</v>
      </c>
      <c r="O112" t="str">
        <f t="shared" si="5"/>
        <v>Aug</v>
      </c>
      <c r="P112" t="str">
        <f t="shared" si="6"/>
        <v>Thursday</v>
      </c>
      <c r="Q112">
        <f t="shared" si="7"/>
        <v>13237.6464</v>
      </c>
      <c r="R112">
        <f t="shared" si="8"/>
        <v>15425.849999999999</v>
      </c>
      <c r="S112">
        <f t="shared" si="9"/>
        <v>13729.0065</v>
      </c>
    </row>
    <row r="113" spans="1:19"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c r="O113" t="str">
        <f t="shared" si="5"/>
        <v>Sep</v>
      </c>
      <c r="P113" t="str">
        <f t="shared" si="6"/>
        <v>Wednesday</v>
      </c>
      <c r="Q113">
        <f t="shared" si="7"/>
        <v>44770.248</v>
      </c>
      <c r="R113">
        <f t="shared" si="8"/>
        <v>5603.7599999998856</v>
      </c>
      <c r="S113">
        <f t="shared" si="9"/>
        <v>4763.1959999999026</v>
      </c>
    </row>
    <row r="114" spans="1:19" x14ac:dyDescent="0.3">
      <c r="A114">
        <v>1001</v>
      </c>
      <c r="B114" s="1">
        <v>45242</v>
      </c>
      <c r="C114" t="s">
        <v>42</v>
      </c>
      <c r="D114" t="s">
        <v>15</v>
      </c>
      <c r="E114">
        <v>715.81</v>
      </c>
      <c r="F114">
        <v>8</v>
      </c>
      <c r="G114" t="s">
        <v>35</v>
      </c>
      <c r="H114">
        <v>3657.91</v>
      </c>
      <c r="I114">
        <v>3729.27</v>
      </c>
      <c r="J114" t="s">
        <v>30</v>
      </c>
      <c r="K114">
        <v>0.09</v>
      </c>
      <c r="L114" t="s">
        <v>27</v>
      </c>
      <c r="M114" t="s">
        <v>22</v>
      </c>
      <c r="N114" t="s">
        <v>49</v>
      </c>
      <c r="O114" t="str">
        <f t="shared" si="5"/>
        <v>Nov</v>
      </c>
      <c r="P114" t="str">
        <f t="shared" si="6"/>
        <v>Sunday</v>
      </c>
      <c r="Q114">
        <f t="shared" si="7"/>
        <v>26629.584800000001</v>
      </c>
      <c r="R114">
        <f t="shared" si="8"/>
        <v>570.88000000000102</v>
      </c>
      <c r="S114">
        <f t="shared" si="9"/>
        <v>519.50080000000094</v>
      </c>
    </row>
    <row r="115" spans="1:19" x14ac:dyDescent="0.3">
      <c r="A115">
        <v>1008</v>
      </c>
      <c r="B115" s="1">
        <v>45212</v>
      </c>
      <c r="C115" t="s">
        <v>38</v>
      </c>
      <c r="D115" t="s">
        <v>21</v>
      </c>
      <c r="E115">
        <v>1558.3</v>
      </c>
      <c r="F115">
        <v>24</v>
      </c>
      <c r="G115" t="s">
        <v>35</v>
      </c>
      <c r="H115">
        <v>1542.24</v>
      </c>
      <c r="I115">
        <v>1739.45</v>
      </c>
      <c r="J115" t="s">
        <v>17</v>
      </c>
      <c r="K115">
        <v>0.21</v>
      </c>
      <c r="L115" t="s">
        <v>27</v>
      </c>
      <c r="M115" t="s">
        <v>22</v>
      </c>
      <c r="N115" t="s">
        <v>41</v>
      </c>
      <c r="O115" t="str">
        <f t="shared" si="5"/>
        <v>Oct</v>
      </c>
      <c r="P115" t="str">
        <f t="shared" si="6"/>
        <v>Friday</v>
      </c>
      <c r="Q115">
        <f t="shared" si="7"/>
        <v>29240.870400000003</v>
      </c>
      <c r="R115">
        <f t="shared" si="8"/>
        <v>4733.0400000000009</v>
      </c>
      <c r="S115">
        <f t="shared" si="9"/>
        <v>3739.1016000000009</v>
      </c>
    </row>
    <row r="116" spans="1:19" x14ac:dyDescent="0.3">
      <c r="A116">
        <v>1088</v>
      </c>
      <c r="B116" s="1">
        <v>45217</v>
      </c>
      <c r="C116" t="s">
        <v>38</v>
      </c>
      <c r="D116" t="s">
        <v>21</v>
      </c>
      <c r="E116">
        <v>177.63</v>
      </c>
      <c r="F116">
        <v>16</v>
      </c>
      <c r="G116" t="s">
        <v>16</v>
      </c>
      <c r="H116">
        <v>3016.9</v>
      </c>
      <c r="I116">
        <v>3040.73</v>
      </c>
      <c r="J116" t="s">
        <v>30</v>
      </c>
      <c r="K116">
        <v>0.26</v>
      </c>
      <c r="L116" t="s">
        <v>27</v>
      </c>
      <c r="M116" t="s">
        <v>22</v>
      </c>
      <c r="N116" t="s">
        <v>41</v>
      </c>
      <c r="O116" t="str">
        <f t="shared" si="5"/>
        <v>Oct</v>
      </c>
      <c r="P116" t="str">
        <f t="shared" si="6"/>
        <v>Wednesday</v>
      </c>
      <c r="Q116">
        <f t="shared" si="7"/>
        <v>35720.095999999998</v>
      </c>
      <c r="R116">
        <f t="shared" si="8"/>
        <v>381.27999999999884</v>
      </c>
      <c r="S116">
        <f t="shared" si="9"/>
        <v>282.14719999999915</v>
      </c>
    </row>
    <row r="117" spans="1:19" x14ac:dyDescent="0.3">
      <c r="A117">
        <v>1063</v>
      </c>
      <c r="B117" s="1">
        <v>45139</v>
      </c>
      <c r="C117" t="s">
        <v>14</v>
      </c>
      <c r="D117" t="s">
        <v>25</v>
      </c>
      <c r="E117">
        <v>6346.13</v>
      </c>
      <c r="F117">
        <v>4</v>
      </c>
      <c r="G117" t="s">
        <v>35</v>
      </c>
      <c r="H117">
        <v>1046.26</v>
      </c>
      <c r="I117">
        <v>1475.29</v>
      </c>
      <c r="J117" t="s">
        <v>17</v>
      </c>
      <c r="K117">
        <v>0.09</v>
      </c>
      <c r="L117" t="s">
        <v>27</v>
      </c>
      <c r="M117" t="s">
        <v>22</v>
      </c>
      <c r="N117" t="s">
        <v>32</v>
      </c>
      <c r="O117" t="str">
        <f t="shared" si="5"/>
        <v>Aug</v>
      </c>
      <c r="P117" t="str">
        <f t="shared" si="6"/>
        <v>Tuesday</v>
      </c>
      <c r="Q117">
        <f t="shared" si="7"/>
        <v>3808.3864000000003</v>
      </c>
      <c r="R117">
        <f t="shared" si="8"/>
        <v>1716.12</v>
      </c>
      <c r="S117">
        <f t="shared" si="9"/>
        <v>1561.6692</v>
      </c>
    </row>
    <row r="118" spans="1:19" x14ac:dyDescent="0.3">
      <c r="A118">
        <v>1011</v>
      </c>
      <c r="B118" s="1">
        <v>45091</v>
      </c>
      <c r="C118" t="s">
        <v>42</v>
      </c>
      <c r="D118" t="s">
        <v>25</v>
      </c>
      <c r="E118">
        <v>4531.97</v>
      </c>
      <c r="F118">
        <v>38</v>
      </c>
      <c r="G118" t="s">
        <v>16</v>
      </c>
      <c r="H118">
        <v>4456.67</v>
      </c>
      <c r="I118">
        <v>4642.46</v>
      </c>
      <c r="J118" t="s">
        <v>30</v>
      </c>
      <c r="K118">
        <v>0.06</v>
      </c>
      <c r="L118" t="s">
        <v>27</v>
      </c>
      <c r="M118" t="s">
        <v>19</v>
      </c>
      <c r="N118" t="s">
        <v>43</v>
      </c>
      <c r="O118" t="str">
        <f t="shared" si="5"/>
        <v>Jun</v>
      </c>
      <c r="P118" t="str">
        <f t="shared" si="6"/>
        <v>Wednesday</v>
      </c>
      <c r="Q118">
        <f t="shared" si="7"/>
        <v>159192.2524</v>
      </c>
      <c r="R118">
        <f t="shared" si="8"/>
        <v>7060.0199999999986</v>
      </c>
      <c r="S118">
        <f t="shared" si="9"/>
        <v>6636.4187999999986</v>
      </c>
    </row>
    <row r="119" spans="1:19" x14ac:dyDescent="0.3">
      <c r="A119">
        <v>1081</v>
      </c>
      <c r="B119" s="1">
        <v>44931</v>
      </c>
      <c r="C119" t="s">
        <v>14</v>
      </c>
      <c r="D119" t="s">
        <v>25</v>
      </c>
      <c r="E119">
        <v>1429.32</v>
      </c>
      <c r="F119">
        <v>44</v>
      </c>
      <c r="G119" t="s">
        <v>26</v>
      </c>
      <c r="H119">
        <v>618.79</v>
      </c>
      <c r="I119">
        <v>938.04</v>
      </c>
      <c r="J119" t="s">
        <v>17</v>
      </c>
      <c r="K119">
        <v>0.03</v>
      </c>
      <c r="L119" t="s">
        <v>18</v>
      </c>
      <c r="M119" t="s">
        <v>19</v>
      </c>
      <c r="N119" t="s">
        <v>32</v>
      </c>
      <c r="O119" t="str">
        <f t="shared" si="5"/>
        <v>Jan</v>
      </c>
      <c r="P119" t="str">
        <f t="shared" si="6"/>
        <v>Thursday</v>
      </c>
      <c r="Q119">
        <f t="shared" si="7"/>
        <v>26409.957199999997</v>
      </c>
      <c r="R119">
        <f t="shared" si="8"/>
        <v>14047</v>
      </c>
      <c r="S119">
        <f t="shared" si="9"/>
        <v>13625.59</v>
      </c>
    </row>
    <row r="120" spans="1:19"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c r="O120" t="str">
        <f t="shared" si="5"/>
        <v>Dec</v>
      </c>
      <c r="P120" t="str">
        <f t="shared" si="6"/>
        <v>Tuesday</v>
      </c>
      <c r="Q120">
        <f t="shared" si="7"/>
        <v>1527.4386</v>
      </c>
      <c r="R120">
        <f t="shared" si="8"/>
        <v>9728.1</v>
      </c>
      <c r="S120">
        <f t="shared" si="9"/>
        <v>7977.0420000000013</v>
      </c>
    </row>
    <row r="121" spans="1:19" x14ac:dyDescent="0.3">
      <c r="A121">
        <v>1035</v>
      </c>
      <c r="B121" s="1">
        <v>45004</v>
      </c>
      <c r="C121" t="s">
        <v>14</v>
      </c>
      <c r="D121" t="s">
        <v>25</v>
      </c>
      <c r="E121">
        <v>5343.63</v>
      </c>
      <c r="F121">
        <v>9</v>
      </c>
      <c r="G121" t="s">
        <v>29</v>
      </c>
      <c r="H121">
        <v>2534.94</v>
      </c>
      <c r="I121">
        <v>2755.56</v>
      </c>
      <c r="J121" t="s">
        <v>17</v>
      </c>
      <c r="K121">
        <v>0.13</v>
      </c>
      <c r="L121" t="s">
        <v>31</v>
      </c>
      <c r="M121" t="s">
        <v>22</v>
      </c>
      <c r="N121" t="s">
        <v>32</v>
      </c>
      <c r="O121" t="str">
        <f t="shared" si="5"/>
        <v>Mar</v>
      </c>
      <c r="P121" t="str">
        <f t="shared" si="6"/>
        <v>Sunday</v>
      </c>
      <c r="Q121">
        <f t="shared" si="7"/>
        <v>19848.5802</v>
      </c>
      <c r="R121">
        <f t="shared" si="8"/>
        <v>1985.579999999999</v>
      </c>
      <c r="S121">
        <f t="shared" si="9"/>
        <v>1727.4545999999991</v>
      </c>
    </row>
    <row r="122" spans="1:19"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c r="O122" t="str">
        <f t="shared" si="5"/>
        <v>Mar</v>
      </c>
      <c r="P122" t="str">
        <f t="shared" si="6"/>
        <v>Friday</v>
      </c>
      <c r="Q122">
        <f t="shared" si="7"/>
        <v>129733.68639999999</v>
      </c>
      <c r="R122">
        <f t="shared" si="8"/>
        <v>7527.5199999999932</v>
      </c>
      <c r="S122">
        <f t="shared" si="9"/>
        <v>7075.8687999999929</v>
      </c>
    </row>
    <row r="123" spans="1:19"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c r="O123" t="str">
        <f t="shared" si="5"/>
        <v>May</v>
      </c>
      <c r="P123" t="str">
        <f t="shared" si="6"/>
        <v>Friday</v>
      </c>
      <c r="Q123">
        <f t="shared" si="7"/>
        <v>37323.264000000003</v>
      </c>
      <c r="R123">
        <f t="shared" si="8"/>
        <v>7703.68</v>
      </c>
      <c r="S123">
        <f t="shared" si="9"/>
        <v>6162.9440000000004</v>
      </c>
    </row>
    <row r="124" spans="1:19" x14ac:dyDescent="0.3">
      <c r="A124">
        <v>1005</v>
      </c>
      <c r="B124" s="1">
        <v>45015</v>
      </c>
      <c r="C124" t="s">
        <v>42</v>
      </c>
      <c r="D124" t="s">
        <v>34</v>
      </c>
      <c r="E124">
        <v>6828.24</v>
      </c>
      <c r="F124">
        <v>12</v>
      </c>
      <c r="G124" t="s">
        <v>35</v>
      </c>
      <c r="H124">
        <v>319.83</v>
      </c>
      <c r="I124">
        <v>802.43</v>
      </c>
      <c r="J124" t="s">
        <v>30</v>
      </c>
      <c r="K124">
        <v>0.04</v>
      </c>
      <c r="L124" t="s">
        <v>31</v>
      </c>
      <c r="M124" t="s">
        <v>22</v>
      </c>
      <c r="N124" t="s">
        <v>52</v>
      </c>
      <c r="O124" t="str">
        <f t="shared" si="5"/>
        <v>Mar</v>
      </c>
      <c r="P124" t="str">
        <f t="shared" si="6"/>
        <v>Thursday</v>
      </c>
      <c r="Q124">
        <f t="shared" si="7"/>
        <v>3684.4416000000001</v>
      </c>
      <c r="R124">
        <f t="shared" si="8"/>
        <v>5791.2</v>
      </c>
      <c r="S124">
        <f t="shared" si="9"/>
        <v>5559.5519999999997</v>
      </c>
    </row>
    <row r="125" spans="1:19" x14ac:dyDescent="0.3">
      <c r="A125">
        <v>1041</v>
      </c>
      <c r="B125" s="1">
        <v>45163</v>
      </c>
      <c r="C125" t="s">
        <v>14</v>
      </c>
      <c r="D125" t="s">
        <v>25</v>
      </c>
      <c r="E125">
        <v>854.77</v>
      </c>
      <c r="F125">
        <v>31</v>
      </c>
      <c r="G125" t="s">
        <v>26</v>
      </c>
      <c r="H125">
        <v>1604.52</v>
      </c>
      <c r="I125">
        <v>1756.34</v>
      </c>
      <c r="J125" t="s">
        <v>17</v>
      </c>
      <c r="K125">
        <v>0.17</v>
      </c>
      <c r="L125" t="s">
        <v>18</v>
      </c>
      <c r="M125" t="s">
        <v>22</v>
      </c>
      <c r="N125" t="s">
        <v>32</v>
      </c>
      <c r="O125" t="str">
        <f t="shared" si="5"/>
        <v>Aug</v>
      </c>
      <c r="P125" t="str">
        <f t="shared" si="6"/>
        <v>Friday</v>
      </c>
      <c r="Q125">
        <f t="shared" si="7"/>
        <v>41284.299599999998</v>
      </c>
      <c r="R125">
        <f t="shared" si="8"/>
        <v>4706.4199999999983</v>
      </c>
      <c r="S125">
        <f t="shared" si="9"/>
        <v>3906.3285999999985</v>
      </c>
    </row>
    <row r="126" spans="1:19"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c r="O126" t="str">
        <f t="shared" si="5"/>
        <v>Feb</v>
      </c>
      <c r="P126" t="str">
        <f t="shared" si="6"/>
        <v>Saturday</v>
      </c>
      <c r="Q126">
        <f t="shared" si="7"/>
        <v>50823.964800000002</v>
      </c>
      <c r="R126">
        <f t="shared" si="8"/>
        <v>5880.48</v>
      </c>
      <c r="S126">
        <f t="shared" si="9"/>
        <v>4939.6031999999996</v>
      </c>
    </row>
    <row r="127" spans="1:19" x14ac:dyDescent="0.3">
      <c r="A127">
        <v>1007</v>
      </c>
      <c r="B127" s="1">
        <v>45015</v>
      </c>
      <c r="C127" t="s">
        <v>24</v>
      </c>
      <c r="D127" t="s">
        <v>34</v>
      </c>
      <c r="E127">
        <v>8088.96</v>
      </c>
      <c r="F127">
        <v>14</v>
      </c>
      <c r="G127" t="s">
        <v>16</v>
      </c>
      <c r="H127">
        <v>1122.07</v>
      </c>
      <c r="I127">
        <v>1608.76</v>
      </c>
      <c r="J127" t="s">
        <v>30</v>
      </c>
      <c r="K127">
        <v>0.22</v>
      </c>
      <c r="L127" t="s">
        <v>18</v>
      </c>
      <c r="M127" t="s">
        <v>22</v>
      </c>
      <c r="N127" t="s">
        <v>50</v>
      </c>
      <c r="O127" t="str">
        <f t="shared" si="5"/>
        <v>Mar</v>
      </c>
      <c r="P127" t="str">
        <f t="shared" si="6"/>
        <v>Thursday</v>
      </c>
      <c r="Q127">
        <f t="shared" si="7"/>
        <v>12253.0044</v>
      </c>
      <c r="R127">
        <f t="shared" si="8"/>
        <v>6813.6600000000008</v>
      </c>
      <c r="S127">
        <f t="shared" si="9"/>
        <v>5314.6548000000012</v>
      </c>
    </row>
    <row r="128" spans="1:19"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c r="O128" t="str">
        <f t="shared" si="5"/>
        <v>Oct</v>
      </c>
      <c r="P128" t="str">
        <f t="shared" si="6"/>
        <v>Monday</v>
      </c>
      <c r="Q128">
        <f t="shared" si="7"/>
        <v>192694.94999999998</v>
      </c>
      <c r="R128">
        <f t="shared" si="8"/>
        <v>557.55000000001473</v>
      </c>
      <c r="S128">
        <f t="shared" si="9"/>
        <v>546.39900000001444</v>
      </c>
    </row>
    <row r="129" spans="1:19" x14ac:dyDescent="0.3">
      <c r="A129">
        <v>1072</v>
      </c>
      <c r="B129" s="1">
        <v>45254</v>
      </c>
      <c r="C129" t="s">
        <v>42</v>
      </c>
      <c r="D129" t="s">
        <v>34</v>
      </c>
      <c r="E129">
        <v>5511.11</v>
      </c>
      <c r="F129">
        <v>25</v>
      </c>
      <c r="G129" t="s">
        <v>29</v>
      </c>
      <c r="H129">
        <v>481.19</v>
      </c>
      <c r="I129">
        <v>693.4</v>
      </c>
      <c r="J129" t="s">
        <v>30</v>
      </c>
      <c r="K129">
        <v>0.27</v>
      </c>
      <c r="L129" t="s">
        <v>31</v>
      </c>
      <c r="M129" t="s">
        <v>22</v>
      </c>
      <c r="N129" t="s">
        <v>52</v>
      </c>
      <c r="O129" t="str">
        <f t="shared" si="5"/>
        <v>Nov</v>
      </c>
      <c r="P129" t="str">
        <f t="shared" si="6"/>
        <v>Friday</v>
      </c>
      <c r="Q129">
        <f t="shared" si="7"/>
        <v>8781.7175000000007</v>
      </c>
      <c r="R129">
        <f t="shared" si="8"/>
        <v>5305.2499999999991</v>
      </c>
      <c r="S129">
        <f t="shared" si="9"/>
        <v>3872.8324999999991</v>
      </c>
    </row>
    <row r="130" spans="1:19"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c r="O130" t="str">
        <f t="shared" si="5"/>
        <v>Oct</v>
      </c>
      <c r="P130" t="str">
        <f t="shared" si="6"/>
        <v>Sunday</v>
      </c>
      <c r="Q130">
        <f t="shared" si="7"/>
        <v>66144.093000000008</v>
      </c>
      <c r="R130">
        <f t="shared" si="8"/>
        <v>2013.4799999999932</v>
      </c>
      <c r="S130">
        <f t="shared" si="9"/>
        <v>1590.6491999999946</v>
      </c>
    </row>
    <row r="131" spans="1:19" x14ac:dyDescent="0.3">
      <c r="A131">
        <v>1034</v>
      </c>
      <c r="B131" s="1">
        <v>45030</v>
      </c>
      <c r="C131" t="s">
        <v>42</v>
      </c>
      <c r="D131" t="s">
        <v>21</v>
      </c>
      <c r="E131">
        <v>534.61</v>
      </c>
      <c r="F131">
        <v>3</v>
      </c>
      <c r="G131" t="s">
        <v>29</v>
      </c>
      <c r="H131">
        <v>3472.51</v>
      </c>
      <c r="I131">
        <v>3732</v>
      </c>
      <c r="J131" t="s">
        <v>30</v>
      </c>
      <c r="K131">
        <v>0.06</v>
      </c>
      <c r="L131" t="s">
        <v>18</v>
      </c>
      <c r="M131" t="s">
        <v>19</v>
      </c>
      <c r="N131" t="s">
        <v>51</v>
      </c>
      <c r="O131" t="str">
        <f t="shared" ref="O131:O194" si="10">TEXT(B131,"mmm")</f>
        <v>Apr</v>
      </c>
      <c r="P131" t="str">
        <f t="shared" ref="P131:P194" si="11">TEXT(B131,"dddd")</f>
        <v>Friday</v>
      </c>
      <c r="Q131">
        <f t="shared" ref="Q131:Q194" si="12">(F131*H131)*(1-K131)</f>
        <v>9792.4781999999996</v>
      </c>
      <c r="R131">
        <f t="shared" ref="R131:R194" si="13">(I131-H131)*F131</f>
        <v>778.46999999999935</v>
      </c>
      <c r="S131">
        <f t="shared" ref="S131:S194" si="14">((I131-H131)*F131)*(1-K131)</f>
        <v>731.76179999999931</v>
      </c>
    </row>
    <row r="132" spans="1:19" x14ac:dyDescent="0.3">
      <c r="A132">
        <v>1033</v>
      </c>
      <c r="B132" s="1">
        <v>44940</v>
      </c>
      <c r="C132" t="s">
        <v>42</v>
      </c>
      <c r="D132" t="s">
        <v>21</v>
      </c>
      <c r="E132">
        <v>1740.92</v>
      </c>
      <c r="F132">
        <v>24</v>
      </c>
      <c r="G132" t="s">
        <v>29</v>
      </c>
      <c r="H132">
        <v>1345.67</v>
      </c>
      <c r="I132">
        <v>1367.76</v>
      </c>
      <c r="J132" t="s">
        <v>30</v>
      </c>
      <c r="K132">
        <v>0.06</v>
      </c>
      <c r="L132" t="s">
        <v>27</v>
      </c>
      <c r="M132" t="s">
        <v>19</v>
      </c>
      <c r="N132" t="s">
        <v>51</v>
      </c>
      <c r="O132" t="str">
        <f t="shared" si="10"/>
        <v>Jan</v>
      </c>
      <c r="P132" t="str">
        <f t="shared" si="11"/>
        <v>Saturday</v>
      </c>
      <c r="Q132">
        <f t="shared" si="12"/>
        <v>30358.315200000001</v>
      </c>
      <c r="R132">
        <f t="shared" si="13"/>
        <v>530.15999999999804</v>
      </c>
      <c r="S132">
        <f t="shared" si="14"/>
        <v>498.3503999999981</v>
      </c>
    </row>
    <row r="133" spans="1:19"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c r="O133" t="str">
        <f t="shared" si="10"/>
        <v>Oct</v>
      </c>
      <c r="P133" t="str">
        <f t="shared" si="11"/>
        <v>Sunday</v>
      </c>
      <c r="Q133">
        <f t="shared" si="12"/>
        <v>114735.23459999998</v>
      </c>
      <c r="R133">
        <f t="shared" si="13"/>
        <v>8793.9600000000046</v>
      </c>
      <c r="S133">
        <f t="shared" si="14"/>
        <v>7650.7452000000039</v>
      </c>
    </row>
    <row r="134" spans="1:19"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c r="O134" t="str">
        <f t="shared" si="10"/>
        <v>Jun</v>
      </c>
      <c r="P134" t="str">
        <f t="shared" si="11"/>
        <v>Wednesday</v>
      </c>
      <c r="Q134">
        <f t="shared" si="12"/>
        <v>28049.355</v>
      </c>
      <c r="R134">
        <f t="shared" si="13"/>
        <v>1063.2600000000029</v>
      </c>
      <c r="S134">
        <f t="shared" si="14"/>
        <v>797.44500000000221</v>
      </c>
    </row>
    <row r="135" spans="1:19" x14ac:dyDescent="0.3">
      <c r="A135">
        <v>1062</v>
      </c>
      <c r="B135" s="1">
        <v>45051</v>
      </c>
      <c r="C135" t="s">
        <v>38</v>
      </c>
      <c r="D135" t="s">
        <v>25</v>
      </c>
      <c r="E135">
        <v>594.79</v>
      </c>
      <c r="F135">
        <v>26</v>
      </c>
      <c r="G135" t="s">
        <v>29</v>
      </c>
      <c r="H135">
        <v>992.17</v>
      </c>
      <c r="I135">
        <v>1263.49</v>
      </c>
      <c r="J135" t="s">
        <v>17</v>
      </c>
      <c r="K135">
        <v>0.25</v>
      </c>
      <c r="L135" t="s">
        <v>27</v>
      </c>
      <c r="M135" t="s">
        <v>22</v>
      </c>
      <c r="N135" t="s">
        <v>39</v>
      </c>
      <c r="O135" t="str">
        <f t="shared" si="10"/>
        <v>May</v>
      </c>
      <c r="P135" t="str">
        <f t="shared" si="11"/>
        <v>Friday</v>
      </c>
      <c r="Q135">
        <f t="shared" si="12"/>
        <v>19347.314999999999</v>
      </c>
      <c r="R135">
        <f t="shared" si="13"/>
        <v>7054.3200000000015</v>
      </c>
      <c r="S135">
        <f t="shared" si="14"/>
        <v>5290.7400000000016</v>
      </c>
    </row>
    <row r="136" spans="1:19"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c r="O136" t="str">
        <f t="shared" si="10"/>
        <v>Dec</v>
      </c>
      <c r="P136" t="str">
        <f t="shared" si="11"/>
        <v>Tuesday</v>
      </c>
      <c r="Q136">
        <f t="shared" si="12"/>
        <v>77116.031999999992</v>
      </c>
      <c r="R136">
        <f t="shared" si="13"/>
        <v>9960.7999999999993</v>
      </c>
      <c r="S136">
        <f t="shared" si="14"/>
        <v>8367.0719999999983</v>
      </c>
    </row>
    <row r="137" spans="1:19" x14ac:dyDescent="0.3">
      <c r="A137">
        <v>1037</v>
      </c>
      <c r="B137" s="1">
        <v>44949</v>
      </c>
      <c r="C137" t="s">
        <v>14</v>
      </c>
      <c r="D137" t="s">
        <v>15</v>
      </c>
      <c r="E137">
        <v>9813.81</v>
      </c>
      <c r="F137">
        <v>40</v>
      </c>
      <c r="G137" t="s">
        <v>29</v>
      </c>
      <c r="H137">
        <v>2790.11</v>
      </c>
      <c r="I137">
        <v>3192.37</v>
      </c>
      <c r="J137" t="s">
        <v>17</v>
      </c>
      <c r="K137">
        <v>0.26</v>
      </c>
      <c r="L137" t="s">
        <v>27</v>
      </c>
      <c r="M137" t="s">
        <v>19</v>
      </c>
      <c r="N137" t="s">
        <v>20</v>
      </c>
      <c r="O137" t="str">
        <f t="shared" si="10"/>
        <v>Jan</v>
      </c>
      <c r="P137" t="str">
        <f t="shared" si="11"/>
        <v>Monday</v>
      </c>
      <c r="Q137">
        <f t="shared" si="12"/>
        <v>82587.256000000008</v>
      </c>
      <c r="R137">
        <f t="shared" si="13"/>
        <v>16090.399999999991</v>
      </c>
      <c r="S137">
        <f t="shared" si="14"/>
        <v>11906.895999999993</v>
      </c>
    </row>
    <row r="138" spans="1:19" x14ac:dyDescent="0.3">
      <c r="A138">
        <v>1099</v>
      </c>
      <c r="B138" s="1">
        <v>44989</v>
      </c>
      <c r="C138" t="s">
        <v>24</v>
      </c>
      <c r="D138" t="s">
        <v>34</v>
      </c>
      <c r="E138">
        <v>7952.11</v>
      </c>
      <c r="F138">
        <v>10</v>
      </c>
      <c r="G138" t="s">
        <v>16</v>
      </c>
      <c r="H138">
        <v>1531.2</v>
      </c>
      <c r="I138">
        <v>1955.56</v>
      </c>
      <c r="J138" t="s">
        <v>30</v>
      </c>
      <c r="K138">
        <v>0</v>
      </c>
      <c r="L138" t="s">
        <v>31</v>
      </c>
      <c r="M138" t="s">
        <v>19</v>
      </c>
      <c r="N138" t="s">
        <v>50</v>
      </c>
      <c r="O138" t="str">
        <f t="shared" si="10"/>
        <v>Mar</v>
      </c>
      <c r="P138" t="str">
        <f t="shared" si="11"/>
        <v>Saturday</v>
      </c>
      <c r="Q138">
        <f t="shared" si="12"/>
        <v>15312</v>
      </c>
      <c r="R138">
        <f t="shared" si="13"/>
        <v>4243.5999999999985</v>
      </c>
      <c r="S138">
        <f t="shared" si="14"/>
        <v>4243.5999999999985</v>
      </c>
    </row>
    <row r="139" spans="1:19"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c r="O139" t="str">
        <f t="shared" si="10"/>
        <v>May</v>
      </c>
      <c r="P139" t="str">
        <f t="shared" si="11"/>
        <v>Tuesday</v>
      </c>
      <c r="Q139">
        <f t="shared" si="12"/>
        <v>41057.527499999997</v>
      </c>
      <c r="R139">
        <f t="shared" si="13"/>
        <v>6104.3199999998142</v>
      </c>
      <c r="S139">
        <f t="shared" si="14"/>
        <v>6043.2767999998159</v>
      </c>
    </row>
    <row r="140" spans="1:19"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c r="O140" t="str">
        <f t="shared" si="10"/>
        <v>Jun</v>
      </c>
      <c r="P140" t="str">
        <f t="shared" si="11"/>
        <v>Friday</v>
      </c>
      <c r="Q140">
        <f t="shared" si="12"/>
        <v>3493.8164999999995</v>
      </c>
      <c r="R140">
        <f t="shared" si="13"/>
        <v>91.079999999970369</v>
      </c>
      <c r="S140">
        <f t="shared" si="14"/>
        <v>66.48839999997837</v>
      </c>
    </row>
    <row r="141" spans="1:19"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c r="O141" t="str">
        <f t="shared" si="10"/>
        <v>May</v>
      </c>
      <c r="P141" t="str">
        <f t="shared" si="11"/>
        <v>Thursday</v>
      </c>
      <c r="Q141">
        <f t="shared" si="12"/>
        <v>67254.26400000001</v>
      </c>
      <c r="R141">
        <f t="shared" si="13"/>
        <v>2671.9199999999983</v>
      </c>
      <c r="S141">
        <f t="shared" si="14"/>
        <v>2057.3783999999987</v>
      </c>
    </row>
    <row r="142" spans="1:19"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c r="O142" t="str">
        <f t="shared" si="10"/>
        <v>Aug</v>
      </c>
      <c r="P142" t="str">
        <f t="shared" si="11"/>
        <v>Sunday</v>
      </c>
      <c r="Q142">
        <f t="shared" si="12"/>
        <v>17164.267</v>
      </c>
      <c r="R142">
        <f t="shared" si="13"/>
        <v>2316.400000000001</v>
      </c>
      <c r="S142">
        <f t="shared" si="14"/>
        <v>1992.1040000000007</v>
      </c>
    </row>
    <row r="143" spans="1:19"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c r="O143" t="str">
        <f t="shared" si="10"/>
        <v>Nov</v>
      </c>
      <c r="P143" t="str">
        <f t="shared" si="11"/>
        <v>Sunday</v>
      </c>
      <c r="Q143">
        <f t="shared" si="12"/>
        <v>9639.7223999999987</v>
      </c>
      <c r="R143">
        <f t="shared" si="13"/>
        <v>568.19999999999891</v>
      </c>
      <c r="S143">
        <f t="shared" si="14"/>
        <v>437.51399999999916</v>
      </c>
    </row>
    <row r="144" spans="1:19"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c r="O144" t="str">
        <f t="shared" si="10"/>
        <v>Apr</v>
      </c>
      <c r="P144" t="str">
        <f t="shared" si="11"/>
        <v>Friday</v>
      </c>
      <c r="Q144">
        <f t="shared" si="12"/>
        <v>94499.473499999993</v>
      </c>
      <c r="R144">
        <f t="shared" si="13"/>
        <v>1641.0599999999931</v>
      </c>
      <c r="S144">
        <f t="shared" si="14"/>
        <v>1165.1525999999951</v>
      </c>
    </row>
    <row r="145" spans="1:19" x14ac:dyDescent="0.3">
      <c r="A145">
        <v>1047</v>
      </c>
      <c r="B145" s="1">
        <v>45030</v>
      </c>
      <c r="C145" t="s">
        <v>38</v>
      </c>
      <c r="D145" t="s">
        <v>21</v>
      </c>
      <c r="E145">
        <v>7146.06</v>
      </c>
      <c r="F145">
        <v>16</v>
      </c>
      <c r="G145" t="s">
        <v>29</v>
      </c>
      <c r="H145">
        <v>3966.86</v>
      </c>
      <c r="I145">
        <v>4321.04</v>
      </c>
      <c r="J145" t="s">
        <v>17</v>
      </c>
      <c r="K145">
        <v>0.23</v>
      </c>
      <c r="L145" t="s">
        <v>31</v>
      </c>
      <c r="M145" t="s">
        <v>22</v>
      </c>
      <c r="N145" t="s">
        <v>41</v>
      </c>
      <c r="O145" t="str">
        <f t="shared" si="10"/>
        <v>Apr</v>
      </c>
      <c r="P145" t="str">
        <f t="shared" si="11"/>
        <v>Friday</v>
      </c>
      <c r="Q145">
        <f t="shared" si="12"/>
        <v>48871.715200000006</v>
      </c>
      <c r="R145">
        <f t="shared" si="13"/>
        <v>5666.8799999999974</v>
      </c>
      <c r="S145">
        <f t="shared" si="14"/>
        <v>4363.4975999999979</v>
      </c>
    </row>
    <row r="146" spans="1:19" x14ac:dyDescent="0.3">
      <c r="A146">
        <v>1078</v>
      </c>
      <c r="B146" s="1">
        <v>44965</v>
      </c>
      <c r="C146" t="s">
        <v>42</v>
      </c>
      <c r="D146" t="s">
        <v>25</v>
      </c>
      <c r="E146">
        <v>9813.32</v>
      </c>
      <c r="F146">
        <v>49</v>
      </c>
      <c r="G146" t="s">
        <v>16</v>
      </c>
      <c r="H146">
        <v>3026.85</v>
      </c>
      <c r="I146">
        <v>3183.58</v>
      </c>
      <c r="J146" t="s">
        <v>17</v>
      </c>
      <c r="K146">
        <v>0.25</v>
      </c>
      <c r="L146" t="s">
        <v>18</v>
      </c>
      <c r="M146" t="s">
        <v>22</v>
      </c>
      <c r="N146" t="s">
        <v>43</v>
      </c>
      <c r="O146" t="str">
        <f t="shared" si="10"/>
        <v>Feb</v>
      </c>
      <c r="P146" t="str">
        <f t="shared" si="11"/>
        <v>Wednesday</v>
      </c>
      <c r="Q146">
        <f t="shared" si="12"/>
        <v>111236.73749999999</v>
      </c>
      <c r="R146">
        <f t="shared" si="13"/>
        <v>7679.77</v>
      </c>
      <c r="S146">
        <f t="shared" si="14"/>
        <v>5759.8275000000003</v>
      </c>
    </row>
    <row r="147" spans="1:19" x14ac:dyDescent="0.3">
      <c r="A147">
        <v>1003</v>
      </c>
      <c r="B147" s="1">
        <v>45124</v>
      </c>
      <c r="C147" t="s">
        <v>38</v>
      </c>
      <c r="D147" t="s">
        <v>21</v>
      </c>
      <c r="E147">
        <v>5738.44</v>
      </c>
      <c r="F147">
        <v>15</v>
      </c>
      <c r="G147" t="s">
        <v>35</v>
      </c>
      <c r="H147">
        <v>1729.14</v>
      </c>
      <c r="I147">
        <v>1870.88</v>
      </c>
      <c r="J147" t="s">
        <v>17</v>
      </c>
      <c r="K147">
        <v>0.23</v>
      </c>
      <c r="L147" t="s">
        <v>18</v>
      </c>
      <c r="M147" t="s">
        <v>19</v>
      </c>
      <c r="N147" t="s">
        <v>41</v>
      </c>
      <c r="O147" t="str">
        <f t="shared" si="10"/>
        <v>Jul</v>
      </c>
      <c r="P147" t="str">
        <f t="shared" si="11"/>
        <v>Monday</v>
      </c>
      <c r="Q147">
        <f t="shared" si="12"/>
        <v>19971.567000000003</v>
      </c>
      <c r="R147">
        <f t="shared" si="13"/>
        <v>2126.1000000000004</v>
      </c>
      <c r="S147">
        <f t="shared" si="14"/>
        <v>1637.0970000000002</v>
      </c>
    </row>
    <row r="148" spans="1:19" x14ac:dyDescent="0.3">
      <c r="A148">
        <v>1001</v>
      </c>
      <c r="B148" s="1">
        <v>45060</v>
      </c>
      <c r="C148" t="s">
        <v>38</v>
      </c>
      <c r="D148" t="s">
        <v>25</v>
      </c>
      <c r="E148">
        <v>2669.46</v>
      </c>
      <c r="F148">
        <v>35</v>
      </c>
      <c r="G148" t="s">
        <v>35</v>
      </c>
      <c r="H148">
        <v>2745.75</v>
      </c>
      <c r="I148">
        <v>3244.76</v>
      </c>
      <c r="J148" t="s">
        <v>30</v>
      </c>
      <c r="K148">
        <v>0.05</v>
      </c>
      <c r="L148" t="s">
        <v>27</v>
      </c>
      <c r="M148" t="s">
        <v>19</v>
      </c>
      <c r="N148" t="s">
        <v>39</v>
      </c>
      <c r="O148" t="str">
        <f t="shared" si="10"/>
        <v>May</v>
      </c>
      <c r="P148" t="str">
        <f t="shared" si="11"/>
        <v>Sunday</v>
      </c>
      <c r="Q148">
        <f t="shared" si="12"/>
        <v>91296.1875</v>
      </c>
      <c r="R148">
        <f t="shared" si="13"/>
        <v>17465.350000000006</v>
      </c>
      <c r="S148">
        <f t="shared" si="14"/>
        <v>16592.082500000004</v>
      </c>
    </row>
    <row r="149" spans="1:19" x14ac:dyDescent="0.3">
      <c r="A149">
        <v>1005</v>
      </c>
      <c r="B149" s="1">
        <v>44993</v>
      </c>
      <c r="C149" t="s">
        <v>42</v>
      </c>
      <c r="D149" t="s">
        <v>15</v>
      </c>
      <c r="E149">
        <v>4426.26</v>
      </c>
      <c r="F149">
        <v>12</v>
      </c>
      <c r="G149" t="s">
        <v>29</v>
      </c>
      <c r="H149">
        <v>253.29</v>
      </c>
      <c r="I149">
        <v>683.78</v>
      </c>
      <c r="J149" t="s">
        <v>30</v>
      </c>
      <c r="K149">
        <v>0.25</v>
      </c>
      <c r="L149" t="s">
        <v>31</v>
      </c>
      <c r="M149" t="s">
        <v>19</v>
      </c>
      <c r="N149" t="s">
        <v>49</v>
      </c>
      <c r="O149" t="str">
        <f t="shared" si="10"/>
        <v>Mar</v>
      </c>
      <c r="P149" t="str">
        <f t="shared" si="11"/>
        <v>Wednesday</v>
      </c>
      <c r="Q149">
        <f t="shared" si="12"/>
        <v>2279.61</v>
      </c>
      <c r="R149">
        <f t="shared" si="13"/>
        <v>5165.88</v>
      </c>
      <c r="S149">
        <f t="shared" si="14"/>
        <v>3874.41</v>
      </c>
    </row>
    <row r="150" spans="1:19" x14ac:dyDescent="0.3">
      <c r="A150">
        <v>1090</v>
      </c>
      <c r="B150" s="1">
        <v>45105</v>
      </c>
      <c r="C150" t="s">
        <v>33</v>
      </c>
      <c r="D150" t="s">
        <v>15</v>
      </c>
      <c r="E150">
        <v>5976.25</v>
      </c>
      <c r="F150">
        <v>41</v>
      </c>
      <c r="G150" t="s">
        <v>29</v>
      </c>
      <c r="H150">
        <v>3736.88</v>
      </c>
      <c r="I150">
        <v>3946.77</v>
      </c>
      <c r="J150" t="s">
        <v>17</v>
      </c>
      <c r="K150">
        <v>0.06</v>
      </c>
      <c r="L150" t="s">
        <v>31</v>
      </c>
      <c r="M150" t="s">
        <v>19</v>
      </c>
      <c r="N150" t="s">
        <v>53</v>
      </c>
      <c r="O150" t="str">
        <f t="shared" si="10"/>
        <v>Jun</v>
      </c>
      <c r="P150" t="str">
        <f t="shared" si="11"/>
        <v>Wednesday</v>
      </c>
      <c r="Q150">
        <f t="shared" si="12"/>
        <v>144019.35520000002</v>
      </c>
      <c r="R150">
        <f t="shared" si="13"/>
        <v>8605.4899999999943</v>
      </c>
      <c r="S150">
        <f t="shared" si="14"/>
        <v>8089.1605999999938</v>
      </c>
    </row>
    <row r="151" spans="1:19" x14ac:dyDescent="0.3">
      <c r="A151">
        <v>1014</v>
      </c>
      <c r="B151" s="1">
        <v>44968</v>
      </c>
      <c r="C151" t="s">
        <v>24</v>
      </c>
      <c r="D151" t="s">
        <v>21</v>
      </c>
      <c r="E151">
        <v>823.51</v>
      </c>
      <c r="F151">
        <v>44</v>
      </c>
      <c r="G151" t="s">
        <v>26</v>
      </c>
      <c r="H151">
        <v>2257.48</v>
      </c>
      <c r="I151">
        <v>2747.81</v>
      </c>
      <c r="J151" t="s">
        <v>17</v>
      </c>
      <c r="K151">
        <v>0.27</v>
      </c>
      <c r="L151" t="s">
        <v>18</v>
      </c>
      <c r="M151" t="s">
        <v>19</v>
      </c>
      <c r="N151" t="s">
        <v>47</v>
      </c>
      <c r="O151" t="str">
        <f t="shared" si="10"/>
        <v>Feb</v>
      </c>
      <c r="P151" t="str">
        <f t="shared" si="11"/>
        <v>Saturday</v>
      </c>
      <c r="Q151">
        <f t="shared" si="12"/>
        <v>72510.257599999997</v>
      </c>
      <c r="R151">
        <f t="shared" si="13"/>
        <v>21574.519999999997</v>
      </c>
      <c r="S151">
        <f t="shared" si="14"/>
        <v>15749.399599999997</v>
      </c>
    </row>
    <row r="152" spans="1:19"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c r="O152" t="str">
        <f t="shared" si="10"/>
        <v>Jan</v>
      </c>
      <c r="P152" t="str">
        <f t="shared" si="11"/>
        <v>Sunday</v>
      </c>
      <c r="Q152">
        <f t="shared" si="12"/>
        <v>3334.0996000000005</v>
      </c>
      <c r="R152">
        <f t="shared" si="13"/>
        <v>8542.56</v>
      </c>
      <c r="S152">
        <f t="shared" si="14"/>
        <v>7346.6015999999991</v>
      </c>
    </row>
    <row r="153" spans="1:19" x14ac:dyDescent="0.3">
      <c r="A153">
        <v>1009</v>
      </c>
      <c r="B153" s="1">
        <v>45037</v>
      </c>
      <c r="C153" t="s">
        <v>38</v>
      </c>
      <c r="D153" t="s">
        <v>15</v>
      </c>
      <c r="E153">
        <v>9813.66</v>
      </c>
      <c r="F153">
        <v>47</v>
      </c>
      <c r="G153" t="s">
        <v>29</v>
      </c>
      <c r="H153">
        <v>359.41</v>
      </c>
      <c r="I153">
        <v>733</v>
      </c>
      <c r="J153" t="s">
        <v>17</v>
      </c>
      <c r="K153">
        <v>0.2</v>
      </c>
      <c r="L153" t="s">
        <v>27</v>
      </c>
      <c r="M153" t="s">
        <v>22</v>
      </c>
      <c r="N153" t="s">
        <v>40</v>
      </c>
      <c r="O153" t="str">
        <f t="shared" si="10"/>
        <v>Apr</v>
      </c>
      <c r="P153" t="str">
        <f t="shared" si="11"/>
        <v>Friday</v>
      </c>
      <c r="Q153">
        <f t="shared" si="12"/>
        <v>13513.816000000001</v>
      </c>
      <c r="R153">
        <f t="shared" si="13"/>
        <v>17558.73</v>
      </c>
      <c r="S153">
        <f t="shared" si="14"/>
        <v>14046.984</v>
      </c>
    </row>
    <row r="154" spans="1:19" x14ac:dyDescent="0.3">
      <c r="A154">
        <v>1079</v>
      </c>
      <c r="B154" s="1">
        <v>45083</v>
      </c>
      <c r="C154" t="s">
        <v>24</v>
      </c>
      <c r="D154" t="s">
        <v>25</v>
      </c>
      <c r="E154">
        <v>1982.07</v>
      </c>
      <c r="F154">
        <v>34</v>
      </c>
      <c r="G154" t="s">
        <v>16</v>
      </c>
      <c r="H154">
        <v>1967.96</v>
      </c>
      <c r="I154">
        <v>1993.4</v>
      </c>
      <c r="J154" t="s">
        <v>17</v>
      </c>
      <c r="K154">
        <v>0.15</v>
      </c>
      <c r="L154" t="s">
        <v>31</v>
      </c>
      <c r="M154" t="s">
        <v>19</v>
      </c>
      <c r="N154" t="s">
        <v>28</v>
      </c>
      <c r="O154" t="str">
        <f t="shared" si="10"/>
        <v>Jun</v>
      </c>
      <c r="P154" t="str">
        <f t="shared" si="11"/>
        <v>Tuesday</v>
      </c>
      <c r="Q154">
        <f t="shared" si="12"/>
        <v>56874.043999999994</v>
      </c>
      <c r="R154">
        <f t="shared" si="13"/>
        <v>864.96000000000186</v>
      </c>
      <c r="S154">
        <f t="shared" si="14"/>
        <v>735.2160000000016</v>
      </c>
    </row>
    <row r="155" spans="1:19" x14ac:dyDescent="0.3">
      <c r="A155">
        <v>1015</v>
      </c>
      <c r="B155" s="1">
        <v>45215</v>
      </c>
      <c r="C155" t="s">
        <v>33</v>
      </c>
      <c r="D155" t="s">
        <v>15</v>
      </c>
      <c r="E155">
        <v>7946.69</v>
      </c>
      <c r="F155">
        <v>23</v>
      </c>
      <c r="G155" t="s">
        <v>26</v>
      </c>
      <c r="H155">
        <v>2937.94</v>
      </c>
      <c r="I155">
        <v>3007.53</v>
      </c>
      <c r="J155" t="s">
        <v>17</v>
      </c>
      <c r="K155">
        <v>0.03</v>
      </c>
      <c r="L155" t="s">
        <v>18</v>
      </c>
      <c r="M155" t="s">
        <v>22</v>
      </c>
      <c r="N155" t="s">
        <v>53</v>
      </c>
      <c r="O155" t="str">
        <f t="shared" si="10"/>
        <v>Oct</v>
      </c>
      <c r="P155" t="str">
        <f t="shared" si="11"/>
        <v>Monday</v>
      </c>
      <c r="Q155">
        <f t="shared" si="12"/>
        <v>65545.441399999996</v>
      </c>
      <c r="R155">
        <f t="shared" si="13"/>
        <v>1600.5700000000033</v>
      </c>
      <c r="S155">
        <f t="shared" si="14"/>
        <v>1552.5529000000031</v>
      </c>
    </row>
    <row r="156" spans="1:19"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c r="O156" t="str">
        <f t="shared" si="10"/>
        <v>Aug</v>
      </c>
      <c r="P156" t="str">
        <f t="shared" si="11"/>
        <v>Saturday</v>
      </c>
      <c r="Q156">
        <f t="shared" si="12"/>
        <v>66231.720100000006</v>
      </c>
      <c r="R156">
        <f t="shared" si="13"/>
        <v>9926.510000000002</v>
      </c>
      <c r="S156">
        <f t="shared" si="14"/>
        <v>9033.1241000000027</v>
      </c>
    </row>
    <row r="157" spans="1:19" x14ac:dyDescent="0.3">
      <c r="A157">
        <v>1042</v>
      </c>
      <c r="B157" s="1">
        <v>45083</v>
      </c>
      <c r="C157" t="s">
        <v>14</v>
      </c>
      <c r="D157" t="s">
        <v>15</v>
      </c>
      <c r="E157">
        <v>9442.65</v>
      </c>
      <c r="F157">
        <v>20</v>
      </c>
      <c r="G157" t="s">
        <v>26</v>
      </c>
      <c r="H157">
        <v>3115.06</v>
      </c>
      <c r="I157">
        <v>3565.58</v>
      </c>
      <c r="J157" t="s">
        <v>17</v>
      </c>
      <c r="K157">
        <v>0.3</v>
      </c>
      <c r="L157" t="s">
        <v>31</v>
      </c>
      <c r="M157" t="s">
        <v>22</v>
      </c>
      <c r="N157" t="s">
        <v>20</v>
      </c>
      <c r="O157" t="str">
        <f t="shared" si="10"/>
        <v>Jun</v>
      </c>
      <c r="P157" t="str">
        <f t="shared" si="11"/>
        <v>Tuesday</v>
      </c>
      <c r="Q157">
        <f t="shared" si="12"/>
        <v>43610.84</v>
      </c>
      <c r="R157">
        <f t="shared" si="13"/>
        <v>9010.4</v>
      </c>
      <c r="S157">
        <f t="shared" si="14"/>
        <v>6307.28</v>
      </c>
    </row>
    <row r="158" spans="1:19"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c r="O158" t="str">
        <f t="shared" si="10"/>
        <v>Feb</v>
      </c>
      <c r="P158" t="str">
        <f t="shared" si="11"/>
        <v>Tuesday</v>
      </c>
      <c r="Q158">
        <f t="shared" si="12"/>
        <v>20681.959199999998</v>
      </c>
      <c r="R158">
        <f t="shared" si="13"/>
        <v>3787.5600000000013</v>
      </c>
      <c r="S158">
        <f t="shared" si="14"/>
        <v>2689.1676000000007</v>
      </c>
    </row>
    <row r="159" spans="1:19" x14ac:dyDescent="0.3">
      <c r="A159">
        <v>1051</v>
      </c>
      <c r="B159" s="1">
        <v>45023</v>
      </c>
      <c r="C159" t="s">
        <v>42</v>
      </c>
      <c r="D159" t="s">
        <v>21</v>
      </c>
      <c r="E159">
        <v>5262.45</v>
      </c>
      <c r="F159">
        <v>23</v>
      </c>
      <c r="G159" t="s">
        <v>35</v>
      </c>
      <c r="H159">
        <v>3325.43</v>
      </c>
      <c r="I159">
        <v>3401.1</v>
      </c>
      <c r="J159" t="s">
        <v>30</v>
      </c>
      <c r="K159">
        <v>0.1</v>
      </c>
      <c r="L159" t="s">
        <v>18</v>
      </c>
      <c r="M159" t="s">
        <v>19</v>
      </c>
      <c r="N159" t="s">
        <v>51</v>
      </c>
      <c r="O159" t="str">
        <f t="shared" si="10"/>
        <v>Apr</v>
      </c>
      <c r="P159" t="str">
        <f t="shared" si="11"/>
        <v>Friday</v>
      </c>
      <c r="Q159">
        <f t="shared" si="12"/>
        <v>68836.400999999998</v>
      </c>
      <c r="R159">
        <f t="shared" si="13"/>
        <v>1740.4100000000017</v>
      </c>
      <c r="S159">
        <f t="shared" si="14"/>
        <v>1566.3690000000015</v>
      </c>
    </row>
    <row r="160" spans="1:19" x14ac:dyDescent="0.3">
      <c r="A160">
        <v>1063</v>
      </c>
      <c r="B160" s="1">
        <v>45215</v>
      </c>
      <c r="C160" t="s">
        <v>33</v>
      </c>
      <c r="D160" t="s">
        <v>15</v>
      </c>
      <c r="E160">
        <v>9775.35</v>
      </c>
      <c r="F160">
        <v>4</v>
      </c>
      <c r="G160" t="s">
        <v>29</v>
      </c>
      <c r="H160">
        <v>1134.67</v>
      </c>
      <c r="I160">
        <v>1201.3900000000001</v>
      </c>
      <c r="J160" t="s">
        <v>30</v>
      </c>
      <c r="K160">
        <v>0.3</v>
      </c>
      <c r="L160" t="s">
        <v>27</v>
      </c>
      <c r="M160" t="s">
        <v>22</v>
      </c>
      <c r="N160" t="s">
        <v>53</v>
      </c>
      <c r="O160" t="str">
        <f t="shared" si="10"/>
        <v>Oct</v>
      </c>
      <c r="P160" t="str">
        <f t="shared" si="11"/>
        <v>Monday</v>
      </c>
      <c r="Q160">
        <f t="shared" si="12"/>
        <v>3177.076</v>
      </c>
      <c r="R160">
        <f t="shared" si="13"/>
        <v>266.88000000000011</v>
      </c>
      <c r="S160">
        <f t="shared" si="14"/>
        <v>186.81600000000006</v>
      </c>
    </row>
    <row r="161" spans="1:19"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c r="O161" t="str">
        <f t="shared" si="10"/>
        <v>Sep</v>
      </c>
      <c r="P161" t="str">
        <f t="shared" si="11"/>
        <v>Monday</v>
      </c>
      <c r="Q161">
        <f t="shared" si="12"/>
        <v>10497.8325</v>
      </c>
      <c r="R161">
        <f t="shared" si="13"/>
        <v>9743.9499999999989</v>
      </c>
      <c r="S161">
        <f t="shared" si="14"/>
        <v>7307.9624999999996</v>
      </c>
    </row>
    <row r="162" spans="1:19" x14ac:dyDescent="0.3">
      <c r="A162">
        <v>1052</v>
      </c>
      <c r="B162" s="1">
        <v>45122</v>
      </c>
      <c r="C162" t="s">
        <v>33</v>
      </c>
      <c r="D162" t="s">
        <v>34</v>
      </c>
      <c r="E162">
        <v>1700.55</v>
      </c>
      <c r="F162">
        <v>48</v>
      </c>
      <c r="G162" t="s">
        <v>26</v>
      </c>
      <c r="H162">
        <v>3002.35</v>
      </c>
      <c r="I162">
        <v>3080.61</v>
      </c>
      <c r="J162" t="s">
        <v>17</v>
      </c>
      <c r="K162">
        <v>0.18</v>
      </c>
      <c r="L162" t="s">
        <v>27</v>
      </c>
      <c r="M162" t="s">
        <v>22</v>
      </c>
      <c r="N162" t="s">
        <v>36</v>
      </c>
      <c r="O162" t="str">
        <f t="shared" si="10"/>
        <v>Jul</v>
      </c>
      <c r="P162" t="str">
        <f t="shared" si="11"/>
        <v>Saturday</v>
      </c>
      <c r="Q162">
        <f t="shared" si="12"/>
        <v>118172.496</v>
      </c>
      <c r="R162">
        <f t="shared" si="13"/>
        <v>3756.4800000000105</v>
      </c>
      <c r="S162">
        <f t="shared" si="14"/>
        <v>3080.313600000009</v>
      </c>
    </row>
    <row r="163" spans="1:19"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c r="O163" t="str">
        <f t="shared" si="10"/>
        <v>Mar</v>
      </c>
      <c r="P163" t="str">
        <f t="shared" si="11"/>
        <v>Monday</v>
      </c>
      <c r="Q163">
        <f t="shared" si="12"/>
        <v>116386.4592</v>
      </c>
      <c r="R163">
        <f t="shared" si="13"/>
        <v>12715.679999999993</v>
      </c>
      <c r="S163">
        <f t="shared" si="14"/>
        <v>12588.523199999992</v>
      </c>
    </row>
    <row r="164" spans="1:19" x14ac:dyDescent="0.3">
      <c r="A164">
        <v>1004</v>
      </c>
      <c r="B164" s="1">
        <v>45248</v>
      </c>
      <c r="C164" t="s">
        <v>42</v>
      </c>
      <c r="D164" t="s">
        <v>34</v>
      </c>
      <c r="E164">
        <v>7211.48</v>
      </c>
      <c r="F164">
        <v>1</v>
      </c>
      <c r="G164" t="s">
        <v>26</v>
      </c>
      <c r="H164">
        <v>182.99</v>
      </c>
      <c r="I164">
        <v>211.18</v>
      </c>
      <c r="J164" t="s">
        <v>17</v>
      </c>
      <c r="K164">
        <v>0.27</v>
      </c>
      <c r="L164" t="s">
        <v>27</v>
      </c>
      <c r="M164" t="s">
        <v>22</v>
      </c>
      <c r="N164" t="s">
        <v>52</v>
      </c>
      <c r="O164" t="str">
        <f t="shared" si="10"/>
        <v>Nov</v>
      </c>
      <c r="P164" t="str">
        <f t="shared" si="11"/>
        <v>Saturday</v>
      </c>
      <c r="Q164">
        <f t="shared" si="12"/>
        <v>133.58270000000002</v>
      </c>
      <c r="R164">
        <f t="shared" si="13"/>
        <v>28.189999999999998</v>
      </c>
      <c r="S164">
        <f t="shared" si="14"/>
        <v>20.578699999999998</v>
      </c>
    </row>
    <row r="165" spans="1:19" x14ac:dyDescent="0.3">
      <c r="A165">
        <v>1094</v>
      </c>
      <c r="B165" s="1">
        <v>44936</v>
      </c>
      <c r="C165" t="s">
        <v>38</v>
      </c>
      <c r="D165" t="s">
        <v>15</v>
      </c>
      <c r="E165">
        <v>2548.67</v>
      </c>
      <c r="F165">
        <v>25</v>
      </c>
      <c r="G165" t="s">
        <v>35</v>
      </c>
      <c r="H165">
        <v>1933.39</v>
      </c>
      <c r="I165">
        <v>1982.92</v>
      </c>
      <c r="J165" t="s">
        <v>30</v>
      </c>
      <c r="K165">
        <v>0.17</v>
      </c>
      <c r="L165" t="s">
        <v>27</v>
      </c>
      <c r="M165" t="s">
        <v>19</v>
      </c>
      <c r="N165" t="s">
        <v>40</v>
      </c>
      <c r="O165" t="str">
        <f t="shared" si="10"/>
        <v>Jan</v>
      </c>
      <c r="P165" t="str">
        <f t="shared" si="11"/>
        <v>Tuesday</v>
      </c>
      <c r="Q165">
        <f t="shared" si="12"/>
        <v>40117.842499999999</v>
      </c>
      <c r="R165">
        <f t="shared" si="13"/>
        <v>1238.2499999999993</v>
      </c>
      <c r="S165">
        <f t="shared" si="14"/>
        <v>1027.7474999999995</v>
      </c>
    </row>
    <row r="166" spans="1:19" x14ac:dyDescent="0.3">
      <c r="A166">
        <v>1023</v>
      </c>
      <c r="B166" s="1">
        <v>44931</v>
      </c>
      <c r="C166" t="s">
        <v>42</v>
      </c>
      <c r="D166" t="s">
        <v>34</v>
      </c>
      <c r="E166">
        <v>6442.09</v>
      </c>
      <c r="F166">
        <v>2</v>
      </c>
      <c r="G166" t="s">
        <v>29</v>
      </c>
      <c r="H166">
        <v>575.32000000000005</v>
      </c>
      <c r="I166">
        <v>914.77</v>
      </c>
      <c r="J166" t="s">
        <v>17</v>
      </c>
      <c r="K166">
        <v>0.26</v>
      </c>
      <c r="L166" t="s">
        <v>27</v>
      </c>
      <c r="M166" t="s">
        <v>19</v>
      </c>
      <c r="N166" t="s">
        <v>52</v>
      </c>
      <c r="O166" t="str">
        <f t="shared" si="10"/>
        <v>Jan</v>
      </c>
      <c r="P166" t="str">
        <f t="shared" si="11"/>
        <v>Thursday</v>
      </c>
      <c r="Q166">
        <f t="shared" si="12"/>
        <v>851.47360000000003</v>
      </c>
      <c r="R166">
        <f t="shared" si="13"/>
        <v>678.89999999999986</v>
      </c>
      <c r="S166">
        <f t="shared" si="14"/>
        <v>502.38599999999991</v>
      </c>
    </row>
    <row r="167" spans="1:19"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c r="O167" t="str">
        <f t="shared" si="10"/>
        <v>May</v>
      </c>
      <c r="P167" t="str">
        <f t="shared" si="11"/>
        <v>Wednesday</v>
      </c>
      <c r="Q167">
        <f t="shared" si="12"/>
        <v>60304.95</v>
      </c>
      <c r="R167">
        <f t="shared" si="13"/>
        <v>10430.999999999709</v>
      </c>
      <c r="S167">
        <f t="shared" si="14"/>
        <v>7823.2499999997817</v>
      </c>
    </row>
    <row r="168" spans="1:19" x14ac:dyDescent="0.3">
      <c r="A168">
        <v>1043</v>
      </c>
      <c r="B168" s="1">
        <v>45256</v>
      </c>
      <c r="C168" t="s">
        <v>14</v>
      </c>
      <c r="D168" t="s">
        <v>25</v>
      </c>
      <c r="E168">
        <v>1710.73</v>
      </c>
      <c r="F168">
        <v>3</v>
      </c>
      <c r="G168" t="s">
        <v>35</v>
      </c>
      <c r="H168">
        <v>2009.1</v>
      </c>
      <c r="I168">
        <v>2186.42</v>
      </c>
      <c r="J168" t="s">
        <v>30</v>
      </c>
      <c r="K168">
        <v>0.25</v>
      </c>
      <c r="L168" t="s">
        <v>27</v>
      </c>
      <c r="M168" t="s">
        <v>19</v>
      </c>
      <c r="N168" t="s">
        <v>32</v>
      </c>
      <c r="O168" t="str">
        <f t="shared" si="10"/>
        <v>Nov</v>
      </c>
      <c r="P168" t="str">
        <f t="shared" si="11"/>
        <v>Sunday</v>
      </c>
      <c r="Q168">
        <f t="shared" si="12"/>
        <v>4520.4749999999995</v>
      </c>
      <c r="R168">
        <f t="shared" si="13"/>
        <v>531.96000000000049</v>
      </c>
      <c r="S168">
        <f t="shared" si="14"/>
        <v>398.97000000000037</v>
      </c>
    </row>
    <row r="169" spans="1:19" x14ac:dyDescent="0.3">
      <c r="A169">
        <v>1029</v>
      </c>
      <c r="B169" s="1">
        <v>45279</v>
      </c>
      <c r="C169" t="s">
        <v>38</v>
      </c>
      <c r="D169" t="s">
        <v>15</v>
      </c>
      <c r="E169">
        <v>5694.34</v>
      </c>
      <c r="F169">
        <v>21</v>
      </c>
      <c r="G169" t="s">
        <v>26</v>
      </c>
      <c r="H169">
        <v>3085.1</v>
      </c>
      <c r="I169">
        <v>3200.75</v>
      </c>
      <c r="J169" t="s">
        <v>30</v>
      </c>
      <c r="K169">
        <v>0.21</v>
      </c>
      <c r="L169" t="s">
        <v>18</v>
      </c>
      <c r="M169" t="s">
        <v>22</v>
      </c>
      <c r="N169" t="s">
        <v>40</v>
      </c>
      <c r="O169" t="str">
        <f t="shared" si="10"/>
        <v>Dec</v>
      </c>
      <c r="P169" t="str">
        <f t="shared" si="11"/>
        <v>Tuesday</v>
      </c>
      <c r="Q169">
        <f t="shared" si="12"/>
        <v>51181.809000000001</v>
      </c>
      <c r="R169">
        <f t="shared" si="13"/>
        <v>2428.6500000000019</v>
      </c>
      <c r="S169">
        <f t="shared" si="14"/>
        <v>1918.6335000000015</v>
      </c>
    </row>
    <row r="170" spans="1:19" x14ac:dyDescent="0.3">
      <c r="A170">
        <v>1036</v>
      </c>
      <c r="B170" s="1">
        <v>45044</v>
      </c>
      <c r="C170" t="s">
        <v>33</v>
      </c>
      <c r="D170" t="s">
        <v>21</v>
      </c>
      <c r="E170">
        <v>7739.11</v>
      </c>
      <c r="F170">
        <v>25</v>
      </c>
      <c r="G170" t="s">
        <v>16</v>
      </c>
      <c r="H170">
        <v>4037.73</v>
      </c>
      <c r="I170">
        <v>4446.45</v>
      </c>
      <c r="J170" t="s">
        <v>17</v>
      </c>
      <c r="K170">
        <v>0.09</v>
      </c>
      <c r="L170" t="s">
        <v>27</v>
      </c>
      <c r="M170" t="s">
        <v>19</v>
      </c>
      <c r="N170" t="s">
        <v>37</v>
      </c>
      <c r="O170" t="str">
        <f t="shared" si="10"/>
        <v>Apr</v>
      </c>
      <c r="P170" t="str">
        <f t="shared" si="11"/>
        <v>Friday</v>
      </c>
      <c r="Q170">
        <f t="shared" si="12"/>
        <v>91858.357499999998</v>
      </c>
      <c r="R170">
        <f t="shared" si="13"/>
        <v>10217.999999999995</v>
      </c>
      <c r="S170">
        <f t="shared" si="14"/>
        <v>9298.3799999999956</v>
      </c>
    </row>
    <row r="171" spans="1:19" x14ac:dyDescent="0.3">
      <c r="A171">
        <v>1013</v>
      </c>
      <c r="B171" s="1">
        <v>45220</v>
      </c>
      <c r="C171" t="s">
        <v>24</v>
      </c>
      <c r="D171" t="s">
        <v>34</v>
      </c>
      <c r="E171">
        <v>5039.07</v>
      </c>
      <c r="F171">
        <v>20</v>
      </c>
      <c r="G171" t="s">
        <v>35</v>
      </c>
      <c r="H171">
        <v>1533.36</v>
      </c>
      <c r="I171">
        <v>1649.73999999999</v>
      </c>
      <c r="J171" t="s">
        <v>17</v>
      </c>
      <c r="K171">
        <v>0.1</v>
      </c>
      <c r="L171" t="s">
        <v>27</v>
      </c>
      <c r="M171" t="s">
        <v>19</v>
      </c>
      <c r="N171" t="s">
        <v>50</v>
      </c>
      <c r="O171" t="str">
        <f t="shared" si="10"/>
        <v>Oct</v>
      </c>
      <c r="P171" t="str">
        <f t="shared" si="11"/>
        <v>Saturday</v>
      </c>
      <c r="Q171">
        <f t="shared" si="12"/>
        <v>27600.48</v>
      </c>
      <c r="R171">
        <f t="shared" si="13"/>
        <v>2327.5999999998021</v>
      </c>
      <c r="S171">
        <f t="shared" si="14"/>
        <v>2094.8399999998219</v>
      </c>
    </row>
    <row r="172" spans="1:19" x14ac:dyDescent="0.3">
      <c r="A172">
        <v>1032</v>
      </c>
      <c r="B172" s="1">
        <v>45085</v>
      </c>
      <c r="C172" t="s">
        <v>38</v>
      </c>
      <c r="D172" t="s">
        <v>21</v>
      </c>
      <c r="E172">
        <v>219.82</v>
      </c>
      <c r="F172">
        <v>49</v>
      </c>
      <c r="G172" t="s">
        <v>35</v>
      </c>
      <c r="H172">
        <v>4812.41</v>
      </c>
      <c r="I172">
        <v>5088</v>
      </c>
      <c r="J172" t="s">
        <v>17</v>
      </c>
      <c r="K172">
        <v>0.09</v>
      </c>
      <c r="L172" t="s">
        <v>31</v>
      </c>
      <c r="M172" t="s">
        <v>19</v>
      </c>
      <c r="N172" t="s">
        <v>41</v>
      </c>
      <c r="O172" t="str">
        <f t="shared" si="10"/>
        <v>Jun</v>
      </c>
      <c r="P172" t="str">
        <f t="shared" si="11"/>
        <v>Thursday</v>
      </c>
      <c r="Q172">
        <f t="shared" si="12"/>
        <v>214585.36190000002</v>
      </c>
      <c r="R172">
        <f t="shared" si="13"/>
        <v>13503.910000000007</v>
      </c>
      <c r="S172">
        <f t="shared" si="14"/>
        <v>12288.558100000007</v>
      </c>
    </row>
    <row r="173" spans="1:19" x14ac:dyDescent="0.3">
      <c r="A173">
        <v>1071</v>
      </c>
      <c r="B173" s="1">
        <v>45229</v>
      </c>
      <c r="C173" t="s">
        <v>42</v>
      </c>
      <c r="D173" t="s">
        <v>21</v>
      </c>
      <c r="E173">
        <v>189.48</v>
      </c>
      <c r="F173">
        <v>22</v>
      </c>
      <c r="G173" t="s">
        <v>35</v>
      </c>
      <c r="H173">
        <v>2701.39</v>
      </c>
      <c r="I173">
        <v>3185.81</v>
      </c>
      <c r="J173" t="s">
        <v>30</v>
      </c>
      <c r="K173">
        <v>0.01</v>
      </c>
      <c r="L173" t="s">
        <v>27</v>
      </c>
      <c r="M173" t="s">
        <v>19</v>
      </c>
      <c r="N173" t="s">
        <v>51</v>
      </c>
      <c r="O173" t="str">
        <f t="shared" si="10"/>
        <v>Oct</v>
      </c>
      <c r="P173" t="str">
        <f t="shared" si="11"/>
        <v>Monday</v>
      </c>
      <c r="Q173">
        <f t="shared" si="12"/>
        <v>58836.274199999993</v>
      </c>
      <c r="R173">
        <f t="shared" si="13"/>
        <v>10657.240000000002</v>
      </c>
      <c r="S173">
        <f t="shared" si="14"/>
        <v>10550.667600000001</v>
      </c>
    </row>
    <row r="174" spans="1:19" x14ac:dyDescent="0.3">
      <c r="A174">
        <v>1059</v>
      </c>
      <c r="B174" s="1">
        <v>45154</v>
      </c>
      <c r="C174" t="s">
        <v>42</v>
      </c>
      <c r="D174" t="s">
        <v>21</v>
      </c>
      <c r="E174">
        <v>3634.59</v>
      </c>
      <c r="F174">
        <v>21</v>
      </c>
      <c r="G174" t="s">
        <v>29</v>
      </c>
      <c r="H174">
        <v>3110.54</v>
      </c>
      <c r="I174">
        <v>3192.99</v>
      </c>
      <c r="J174" t="s">
        <v>30</v>
      </c>
      <c r="K174">
        <v>0.17</v>
      </c>
      <c r="L174" t="s">
        <v>31</v>
      </c>
      <c r="M174" t="s">
        <v>19</v>
      </c>
      <c r="N174" t="s">
        <v>51</v>
      </c>
      <c r="O174" t="str">
        <f t="shared" si="10"/>
        <v>Aug</v>
      </c>
      <c r="P174" t="str">
        <f t="shared" si="11"/>
        <v>Wednesday</v>
      </c>
      <c r="Q174">
        <f t="shared" si="12"/>
        <v>54216.712199999994</v>
      </c>
      <c r="R174">
        <f t="shared" si="13"/>
        <v>1731.4499999999962</v>
      </c>
      <c r="S174">
        <f t="shared" si="14"/>
        <v>1437.1034999999968</v>
      </c>
    </row>
    <row r="175" spans="1:19"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c r="O175" t="str">
        <f t="shared" si="10"/>
        <v>Dec</v>
      </c>
      <c r="P175" t="str">
        <f t="shared" si="11"/>
        <v>Sunday</v>
      </c>
      <c r="Q175">
        <f t="shared" si="12"/>
        <v>89141.933100000009</v>
      </c>
      <c r="R175">
        <f t="shared" si="13"/>
        <v>15543.989999999676</v>
      </c>
      <c r="S175">
        <f t="shared" si="14"/>
        <v>12279.752099999745</v>
      </c>
    </row>
    <row r="176" spans="1:19" x14ac:dyDescent="0.3">
      <c r="A176">
        <v>1028</v>
      </c>
      <c r="B176" s="1">
        <v>45142</v>
      </c>
      <c r="C176" t="s">
        <v>42</v>
      </c>
      <c r="D176" t="s">
        <v>15</v>
      </c>
      <c r="E176">
        <v>2363.9</v>
      </c>
      <c r="F176">
        <v>38</v>
      </c>
      <c r="G176" t="s">
        <v>29</v>
      </c>
      <c r="H176">
        <v>3350.32</v>
      </c>
      <c r="I176">
        <v>3449.94</v>
      </c>
      <c r="J176" t="s">
        <v>30</v>
      </c>
      <c r="K176">
        <v>0.26</v>
      </c>
      <c r="L176" t="s">
        <v>18</v>
      </c>
      <c r="M176" t="s">
        <v>19</v>
      </c>
      <c r="N176" t="s">
        <v>49</v>
      </c>
      <c r="O176" t="str">
        <f t="shared" si="10"/>
        <v>Aug</v>
      </c>
      <c r="P176" t="str">
        <f t="shared" si="11"/>
        <v>Friday</v>
      </c>
      <c r="Q176">
        <f t="shared" si="12"/>
        <v>94210.998399999997</v>
      </c>
      <c r="R176">
        <f t="shared" si="13"/>
        <v>3785.5599999999959</v>
      </c>
      <c r="S176">
        <f t="shared" si="14"/>
        <v>2801.314399999997</v>
      </c>
    </row>
    <row r="177" spans="1:19" x14ac:dyDescent="0.3">
      <c r="A177">
        <v>1066</v>
      </c>
      <c r="B177" s="1">
        <v>45110</v>
      </c>
      <c r="C177" t="s">
        <v>33</v>
      </c>
      <c r="D177" t="s">
        <v>15</v>
      </c>
      <c r="E177">
        <v>6380.2</v>
      </c>
      <c r="F177">
        <v>15</v>
      </c>
      <c r="G177" t="s">
        <v>16</v>
      </c>
      <c r="H177">
        <v>2579.31</v>
      </c>
      <c r="I177">
        <v>2867.36</v>
      </c>
      <c r="J177" t="s">
        <v>17</v>
      </c>
      <c r="K177">
        <v>0.04</v>
      </c>
      <c r="L177" t="s">
        <v>27</v>
      </c>
      <c r="M177" t="s">
        <v>22</v>
      </c>
      <c r="N177" t="s">
        <v>53</v>
      </c>
      <c r="O177" t="str">
        <f t="shared" si="10"/>
        <v>Jul</v>
      </c>
      <c r="P177" t="str">
        <f t="shared" si="11"/>
        <v>Monday</v>
      </c>
      <c r="Q177">
        <f t="shared" si="12"/>
        <v>37142.063999999998</v>
      </c>
      <c r="R177">
        <f t="shared" si="13"/>
        <v>4320.7500000000027</v>
      </c>
      <c r="S177">
        <f t="shared" si="14"/>
        <v>4147.9200000000028</v>
      </c>
    </row>
    <row r="178" spans="1:19"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c r="O178" t="str">
        <f t="shared" si="10"/>
        <v>Jan</v>
      </c>
      <c r="P178" t="str">
        <f t="shared" si="11"/>
        <v>Sunday</v>
      </c>
      <c r="Q178">
        <f t="shared" si="12"/>
        <v>83940.763200000001</v>
      </c>
      <c r="R178">
        <f t="shared" si="13"/>
        <v>8957.5800000000017</v>
      </c>
      <c r="S178">
        <f t="shared" si="14"/>
        <v>7524.3672000000015</v>
      </c>
    </row>
    <row r="179" spans="1:19" x14ac:dyDescent="0.3">
      <c r="A179">
        <v>1045</v>
      </c>
      <c r="B179" s="1">
        <v>45083</v>
      </c>
      <c r="C179" t="s">
        <v>14</v>
      </c>
      <c r="D179" t="s">
        <v>25</v>
      </c>
      <c r="E179">
        <v>3284.53</v>
      </c>
      <c r="F179">
        <v>15</v>
      </c>
      <c r="G179" t="s">
        <v>35</v>
      </c>
      <c r="H179">
        <v>316.22000000000003</v>
      </c>
      <c r="I179">
        <v>799.04</v>
      </c>
      <c r="J179" t="s">
        <v>30</v>
      </c>
      <c r="K179">
        <v>0</v>
      </c>
      <c r="L179" t="s">
        <v>27</v>
      </c>
      <c r="M179" t="s">
        <v>19</v>
      </c>
      <c r="N179" t="s">
        <v>32</v>
      </c>
      <c r="O179" t="str">
        <f t="shared" si="10"/>
        <v>Jun</v>
      </c>
      <c r="P179" t="str">
        <f t="shared" si="11"/>
        <v>Tuesday</v>
      </c>
      <c r="Q179">
        <f t="shared" si="12"/>
        <v>4743.3</v>
      </c>
      <c r="R179">
        <f t="shared" si="13"/>
        <v>7242.2999999999993</v>
      </c>
      <c r="S179">
        <f t="shared" si="14"/>
        <v>7242.2999999999993</v>
      </c>
    </row>
    <row r="180" spans="1:19" x14ac:dyDescent="0.3">
      <c r="A180">
        <v>1062</v>
      </c>
      <c r="B180" s="1">
        <v>45062</v>
      </c>
      <c r="C180" t="s">
        <v>33</v>
      </c>
      <c r="D180" t="s">
        <v>15</v>
      </c>
      <c r="E180">
        <v>8495.6200000000008</v>
      </c>
      <c r="F180">
        <v>46</v>
      </c>
      <c r="G180" t="s">
        <v>16</v>
      </c>
      <c r="H180">
        <v>159.32</v>
      </c>
      <c r="I180">
        <v>303.36</v>
      </c>
      <c r="J180" t="s">
        <v>30</v>
      </c>
      <c r="K180">
        <v>0.03</v>
      </c>
      <c r="L180" t="s">
        <v>18</v>
      </c>
      <c r="M180" t="s">
        <v>22</v>
      </c>
      <c r="N180" t="s">
        <v>53</v>
      </c>
      <c r="O180" t="str">
        <f t="shared" si="10"/>
        <v>May</v>
      </c>
      <c r="P180" t="str">
        <f t="shared" si="11"/>
        <v>Tuesday</v>
      </c>
      <c r="Q180">
        <f t="shared" si="12"/>
        <v>7108.8583999999992</v>
      </c>
      <c r="R180">
        <f t="shared" si="13"/>
        <v>6625.8400000000011</v>
      </c>
      <c r="S180">
        <f t="shared" si="14"/>
        <v>6427.064800000001</v>
      </c>
    </row>
    <row r="181" spans="1:19" x14ac:dyDescent="0.3">
      <c r="A181">
        <v>1057</v>
      </c>
      <c r="B181" s="1">
        <v>45187</v>
      </c>
      <c r="C181" t="s">
        <v>33</v>
      </c>
      <c r="D181" t="s">
        <v>21</v>
      </c>
      <c r="E181">
        <v>7315.73</v>
      </c>
      <c r="F181">
        <v>25</v>
      </c>
      <c r="G181" t="s">
        <v>26</v>
      </c>
      <c r="H181">
        <v>1821.91</v>
      </c>
      <c r="I181">
        <v>2027.74</v>
      </c>
      <c r="J181" t="s">
        <v>30</v>
      </c>
      <c r="K181">
        <v>0.02</v>
      </c>
      <c r="L181" t="s">
        <v>27</v>
      </c>
      <c r="M181" t="s">
        <v>22</v>
      </c>
      <c r="N181" t="s">
        <v>37</v>
      </c>
      <c r="O181" t="str">
        <f t="shared" si="10"/>
        <v>Sep</v>
      </c>
      <c r="P181" t="str">
        <f t="shared" si="11"/>
        <v>Monday</v>
      </c>
      <c r="Q181">
        <f t="shared" si="12"/>
        <v>44636.794999999998</v>
      </c>
      <c r="R181">
        <f t="shared" si="13"/>
        <v>5145.7499999999982</v>
      </c>
      <c r="S181">
        <f t="shared" si="14"/>
        <v>5042.8349999999982</v>
      </c>
    </row>
    <row r="182" spans="1:19"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c r="O182" t="str">
        <f t="shared" si="10"/>
        <v>Jun</v>
      </c>
      <c r="P182" t="str">
        <f t="shared" si="11"/>
        <v>Tuesday</v>
      </c>
      <c r="Q182">
        <f t="shared" si="12"/>
        <v>27872.535599999999</v>
      </c>
      <c r="R182">
        <f t="shared" si="13"/>
        <v>10323.599999999999</v>
      </c>
      <c r="S182">
        <f t="shared" si="14"/>
        <v>8052.4079999999994</v>
      </c>
    </row>
    <row r="183" spans="1:19"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c r="O183" t="str">
        <f t="shared" si="10"/>
        <v>Feb</v>
      </c>
      <c r="P183" t="str">
        <f t="shared" si="11"/>
        <v>Thursday</v>
      </c>
      <c r="Q183">
        <f t="shared" si="12"/>
        <v>46312.996799999994</v>
      </c>
      <c r="R183">
        <f t="shared" si="13"/>
        <v>6548.8800000000028</v>
      </c>
      <c r="S183">
        <f t="shared" si="14"/>
        <v>6417.9024000000027</v>
      </c>
    </row>
    <row r="184" spans="1:19" x14ac:dyDescent="0.3">
      <c r="A184">
        <v>1028</v>
      </c>
      <c r="B184" s="1">
        <v>45250</v>
      </c>
      <c r="C184" t="s">
        <v>42</v>
      </c>
      <c r="D184" t="s">
        <v>34</v>
      </c>
      <c r="E184">
        <v>388.78</v>
      </c>
      <c r="F184">
        <v>5</v>
      </c>
      <c r="G184" t="s">
        <v>26</v>
      </c>
      <c r="H184">
        <v>734.92</v>
      </c>
      <c r="I184">
        <v>991.21</v>
      </c>
      <c r="J184" t="s">
        <v>17</v>
      </c>
      <c r="K184">
        <v>0.21</v>
      </c>
      <c r="L184" t="s">
        <v>31</v>
      </c>
      <c r="M184" t="s">
        <v>19</v>
      </c>
      <c r="N184" t="s">
        <v>52</v>
      </c>
      <c r="O184" t="str">
        <f t="shared" si="10"/>
        <v>Nov</v>
      </c>
      <c r="P184" t="str">
        <f t="shared" si="11"/>
        <v>Monday</v>
      </c>
      <c r="Q184">
        <f t="shared" si="12"/>
        <v>2902.9340000000002</v>
      </c>
      <c r="R184">
        <f t="shared" si="13"/>
        <v>1281.4500000000003</v>
      </c>
      <c r="S184">
        <f t="shared" si="14"/>
        <v>1012.3455000000002</v>
      </c>
    </row>
    <row r="185" spans="1:19"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c r="O185" t="str">
        <f t="shared" si="10"/>
        <v>Nov</v>
      </c>
      <c r="P185" t="str">
        <f t="shared" si="11"/>
        <v>Tuesday</v>
      </c>
      <c r="Q185">
        <f t="shared" si="12"/>
        <v>20667.929399999997</v>
      </c>
      <c r="R185">
        <f t="shared" si="13"/>
        <v>817.85999999999967</v>
      </c>
      <c r="S185">
        <f t="shared" si="14"/>
        <v>760.60979999999961</v>
      </c>
    </row>
    <row r="186" spans="1:19"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c r="O186" t="str">
        <f t="shared" si="10"/>
        <v>Jun</v>
      </c>
      <c r="P186" t="str">
        <f t="shared" si="11"/>
        <v>Thursday</v>
      </c>
      <c r="Q186">
        <f t="shared" si="12"/>
        <v>155626.8322</v>
      </c>
      <c r="R186">
        <f t="shared" si="13"/>
        <v>17329.830000000002</v>
      </c>
      <c r="S186">
        <f t="shared" si="14"/>
        <v>12824.074200000001</v>
      </c>
    </row>
    <row r="187" spans="1:19"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c r="O187" t="str">
        <f t="shared" si="10"/>
        <v>May</v>
      </c>
      <c r="P187" t="str">
        <f t="shared" si="11"/>
        <v>Wednesday</v>
      </c>
      <c r="Q187">
        <f t="shared" si="12"/>
        <v>153486.19520000002</v>
      </c>
      <c r="R187">
        <f t="shared" si="13"/>
        <v>732.71999999999844</v>
      </c>
      <c r="S187">
        <f t="shared" si="14"/>
        <v>556.86719999999877</v>
      </c>
    </row>
    <row r="188" spans="1:19"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c r="O188" t="str">
        <f t="shared" si="10"/>
        <v>Apr</v>
      </c>
      <c r="P188" t="str">
        <f t="shared" si="11"/>
        <v>Wednesday</v>
      </c>
      <c r="Q188">
        <f t="shared" si="12"/>
        <v>84763.435199999993</v>
      </c>
      <c r="R188">
        <f t="shared" si="13"/>
        <v>1644.4799999999886</v>
      </c>
      <c r="S188">
        <f t="shared" si="14"/>
        <v>1167.580799999992</v>
      </c>
    </row>
    <row r="189" spans="1:19" x14ac:dyDescent="0.3">
      <c r="A189">
        <v>1075</v>
      </c>
      <c r="B189" s="1">
        <v>45041</v>
      </c>
      <c r="C189" t="s">
        <v>24</v>
      </c>
      <c r="D189" t="s">
        <v>21</v>
      </c>
      <c r="E189">
        <v>4038.58</v>
      </c>
      <c r="F189">
        <v>44</v>
      </c>
      <c r="G189" t="s">
        <v>16</v>
      </c>
      <c r="H189">
        <v>3519.29</v>
      </c>
      <c r="I189">
        <v>3822.98</v>
      </c>
      <c r="J189" t="s">
        <v>17</v>
      </c>
      <c r="K189">
        <v>0.27</v>
      </c>
      <c r="L189" t="s">
        <v>27</v>
      </c>
      <c r="M189" t="s">
        <v>19</v>
      </c>
      <c r="N189" t="s">
        <v>47</v>
      </c>
      <c r="O189" t="str">
        <f t="shared" si="10"/>
        <v>Apr</v>
      </c>
      <c r="P189" t="str">
        <f t="shared" si="11"/>
        <v>Tuesday</v>
      </c>
      <c r="Q189">
        <f t="shared" si="12"/>
        <v>113039.59480000001</v>
      </c>
      <c r="R189">
        <f t="shared" si="13"/>
        <v>13362.360000000002</v>
      </c>
      <c r="S189">
        <f t="shared" si="14"/>
        <v>9754.5228000000006</v>
      </c>
    </row>
    <row r="190" spans="1:19"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c r="O190" t="str">
        <f t="shared" si="10"/>
        <v>Aug</v>
      </c>
      <c r="P190" t="str">
        <f t="shared" si="11"/>
        <v>Thursday</v>
      </c>
      <c r="Q190">
        <f t="shared" si="12"/>
        <v>145003.72319999998</v>
      </c>
      <c r="R190">
        <f t="shared" si="13"/>
        <v>8338.7400000000034</v>
      </c>
      <c r="S190">
        <f t="shared" si="14"/>
        <v>6003.8928000000024</v>
      </c>
    </row>
    <row r="191" spans="1:19"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c r="O191" t="str">
        <f t="shared" si="10"/>
        <v>Oct</v>
      </c>
      <c r="P191" t="str">
        <f t="shared" si="11"/>
        <v>Thursday</v>
      </c>
      <c r="Q191">
        <f t="shared" si="12"/>
        <v>36091.590799999998</v>
      </c>
      <c r="R191">
        <f t="shared" si="13"/>
        <v>10973.990000000002</v>
      </c>
      <c r="S191">
        <f t="shared" si="14"/>
        <v>8120.7526000000007</v>
      </c>
    </row>
    <row r="192" spans="1:19" x14ac:dyDescent="0.3">
      <c r="A192">
        <v>1062</v>
      </c>
      <c r="B192" s="1">
        <v>45208</v>
      </c>
      <c r="C192" t="s">
        <v>14</v>
      </c>
      <c r="D192" t="s">
        <v>34</v>
      </c>
      <c r="E192">
        <v>544.62</v>
      </c>
      <c r="F192">
        <v>4</v>
      </c>
      <c r="G192" t="s">
        <v>35</v>
      </c>
      <c r="H192">
        <v>1581.59</v>
      </c>
      <c r="I192">
        <v>2034.1499999999901</v>
      </c>
      <c r="J192" t="s">
        <v>17</v>
      </c>
      <c r="K192">
        <v>0.21</v>
      </c>
      <c r="L192" t="s">
        <v>18</v>
      </c>
      <c r="M192" t="s">
        <v>19</v>
      </c>
      <c r="N192" t="s">
        <v>46</v>
      </c>
      <c r="O192" t="str">
        <f t="shared" si="10"/>
        <v>Oct</v>
      </c>
      <c r="P192" t="str">
        <f t="shared" si="11"/>
        <v>Monday</v>
      </c>
      <c r="Q192">
        <f t="shared" si="12"/>
        <v>4997.8243999999995</v>
      </c>
      <c r="R192">
        <f t="shared" si="13"/>
        <v>1810.2399999999607</v>
      </c>
      <c r="S192">
        <f t="shared" si="14"/>
        <v>1430.0895999999691</v>
      </c>
    </row>
    <row r="193" spans="1:19" x14ac:dyDescent="0.3">
      <c r="A193">
        <v>1097</v>
      </c>
      <c r="B193" s="1">
        <v>45225</v>
      </c>
      <c r="C193" t="s">
        <v>42</v>
      </c>
      <c r="D193" t="s">
        <v>34</v>
      </c>
      <c r="E193">
        <v>7633.98</v>
      </c>
      <c r="F193">
        <v>27</v>
      </c>
      <c r="G193" t="s">
        <v>35</v>
      </c>
      <c r="H193">
        <v>4686.79</v>
      </c>
      <c r="I193">
        <v>5046.51</v>
      </c>
      <c r="J193" t="s">
        <v>17</v>
      </c>
      <c r="K193">
        <v>0.05</v>
      </c>
      <c r="L193" t="s">
        <v>31</v>
      </c>
      <c r="M193" t="s">
        <v>22</v>
      </c>
      <c r="N193" t="s">
        <v>52</v>
      </c>
      <c r="O193" t="str">
        <f t="shared" si="10"/>
        <v>Oct</v>
      </c>
      <c r="P193" t="str">
        <f t="shared" si="11"/>
        <v>Thursday</v>
      </c>
      <c r="Q193">
        <f t="shared" si="12"/>
        <v>120216.1635</v>
      </c>
      <c r="R193">
        <f t="shared" si="13"/>
        <v>9712.440000000006</v>
      </c>
      <c r="S193">
        <f t="shared" si="14"/>
        <v>9226.8180000000048</v>
      </c>
    </row>
    <row r="194" spans="1:19" x14ac:dyDescent="0.3">
      <c r="A194">
        <v>1001</v>
      </c>
      <c r="B194" s="1">
        <v>45209</v>
      </c>
      <c r="C194" t="s">
        <v>24</v>
      </c>
      <c r="D194" t="s">
        <v>21</v>
      </c>
      <c r="E194">
        <v>3780.07</v>
      </c>
      <c r="F194">
        <v>18</v>
      </c>
      <c r="G194" t="s">
        <v>16</v>
      </c>
      <c r="H194">
        <v>2602.6</v>
      </c>
      <c r="I194">
        <v>3013.49</v>
      </c>
      <c r="J194" t="s">
        <v>17</v>
      </c>
      <c r="K194">
        <v>0.08</v>
      </c>
      <c r="L194" t="s">
        <v>27</v>
      </c>
      <c r="M194" t="s">
        <v>19</v>
      </c>
      <c r="N194" t="s">
        <v>47</v>
      </c>
      <c r="O194" t="str">
        <f t="shared" si="10"/>
        <v>Oct</v>
      </c>
      <c r="P194" t="str">
        <f t="shared" si="11"/>
        <v>Tuesday</v>
      </c>
      <c r="Q194">
        <f t="shared" si="12"/>
        <v>43099.055999999997</v>
      </c>
      <c r="R194">
        <f t="shared" si="13"/>
        <v>7396.0199999999977</v>
      </c>
      <c r="S194">
        <f t="shared" si="14"/>
        <v>6804.3383999999978</v>
      </c>
    </row>
    <row r="195" spans="1:19"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c r="O195" t="str">
        <f t="shared" ref="O195:O258" si="15">TEXT(B195,"mmm")</f>
        <v>Mar</v>
      </c>
      <c r="P195" t="str">
        <f t="shared" ref="P195:P258" si="16">TEXT(B195,"dddd")</f>
        <v>Friday</v>
      </c>
      <c r="Q195">
        <f t="shared" ref="Q195:Q258" si="17">(F195*H195)*(1-K195)</f>
        <v>49575.233399999997</v>
      </c>
      <c r="R195">
        <f t="shared" ref="R195:R258" si="18">(I195-H195)*F195</f>
        <v>7076.7899999997953</v>
      </c>
      <c r="S195">
        <f t="shared" ref="S195:S258" si="19">((I195-H195)*F195)*(1-K195)</f>
        <v>6652.1825999998073</v>
      </c>
    </row>
    <row r="196" spans="1:19" x14ac:dyDescent="0.3">
      <c r="A196">
        <v>1062</v>
      </c>
      <c r="B196" s="1">
        <v>45074</v>
      </c>
      <c r="C196" t="s">
        <v>14</v>
      </c>
      <c r="D196" t="s">
        <v>25</v>
      </c>
      <c r="E196">
        <v>7567.22</v>
      </c>
      <c r="F196">
        <v>28</v>
      </c>
      <c r="G196" t="s">
        <v>35</v>
      </c>
      <c r="H196">
        <v>933.16</v>
      </c>
      <c r="I196">
        <v>1004.69999999999</v>
      </c>
      <c r="J196" t="s">
        <v>17</v>
      </c>
      <c r="K196">
        <v>0.18</v>
      </c>
      <c r="L196" t="s">
        <v>27</v>
      </c>
      <c r="M196" t="s">
        <v>19</v>
      </c>
      <c r="N196" t="s">
        <v>32</v>
      </c>
      <c r="O196" t="str">
        <f t="shared" si="15"/>
        <v>May</v>
      </c>
      <c r="P196" t="str">
        <f t="shared" si="16"/>
        <v>Sunday</v>
      </c>
      <c r="Q196">
        <f t="shared" si="17"/>
        <v>21425.353600000002</v>
      </c>
      <c r="R196">
        <f t="shared" si="18"/>
        <v>2003.119999999722</v>
      </c>
      <c r="S196">
        <f t="shared" si="19"/>
        <v>1642.5583999997723</v>
      </c>
    </row>
    <row r="197" spans="1:19" x14ac:dyDescent="0.3">
      <c r="A197">
        <v>1077</v>
      </c>
      <c r="B197" s="1">
        <v>44937</v>
      </c>
      <c r="C197" t="s">
        <v>38</v>
      </c>
      <c r="D197" t="s">
        <v>15</v>
      </c>
      <c r="E197">
        <v>9192.42</v>
      </c>
      <c r="F197">
        <v>35</v>
      </c>
      <c r="G197" t="s">
        <v>35</v>
      </c>
      <c r="H197">
        <v>585.37</v>
      </c>
      <c r="I197">
        <v>970.49</v>
      </c>
      <c r="J197" t="s">
        <v>17</v>
      </c>
      <c r="K197">
        <v>0.15</v>
      </c>
      <c r="L197" t="s">
        <v>27</v>
      </c>
      <c r="M197" t="s">
        <v>22</v>
      </c>
      <c r="N197" t="s">
        <v>40</v>
      </c>
      <c r="O197" t="str">
        <f t="shared" si="15"/>
        <v>Jan</v>
      </c>
      <c r="P197" t="str">
        <f t="shared" si="16"/>
        <v>Wednesday</v>
      </c>
      <c r="Q197">
        <f t="shared" si="17"/>
        <v>17414.7575</v>
      </c>
      <c r="R197">
        <f t="shared" si="18"/>
        <v>13479.2</v>
      </c>
      <c r="S197">
        <f t="shared" si="19"/>
        <v>11457.32</v>
      </c>
    </row>
    <row r="198" spans="1:19" x14ac:dyDescent="0.3">
      <c r="A198">
        <v>1003</v>
      </c>
      <c r="B198" s="1">
        <v>45180</v>
      </c>
      <c r="C198" t="s">
        <v>24</v>
      </c>
      <c r="D198" t="s">
        <v>34</v>
      </c>
      <c r="E198">
        <v>9514.19</v>
      </c>
      <c r="F198">
        <v>22</v>
      </c>
      <c r="G198" t="s">
        <v>26</v>
      </c>
      <c r="H198">
        <v>4218.43</v>
      </c>
      <c r="I198">
        <v>4331.42</v>
      </c>
      <c r="J198" t="s">
        <v>30</v>
      </c>
      <c r="K198">
        <v>0.26</v>
      </c>
      <c r="L198" t="s">
        <v>27</v>
      </c>
      <c r="M198" t="s">
        <v>19</v>
      </c>
      <c r="N198" t="s">
        <v>50</v>
      </c>
      <c r="O198" t="str">
        <f t="shared" si="15"/>
        <v>Sep</v>
      </c>
      <c r="P198" t="str">
        <f t="shared" si="16"/>
        <v>Monday</v>
      </c>
      <c r="Q198">
        <f t="shared" si="17"/>
        <v>68676.040399999998</v>
      </c>
      <c r="R198">
        <f t="shared" si="18"/>
        <v>2485.7799999999952</v>
      </c>
      <c r="S198">
        <f t="shared" si="19"/>
        <v>1839.4771999999964</v>
      </c>
    </row>
    <row r="199" spans="1:19"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c r="O199" t="str">
        <f t="shared" si="15"/>
        <v>Nov</v>
      </c>
      <c r="P199" t="str">
        <f t="shared" si="16"/>
        <v>Sunday</v>
      </c>
      <c r="Q199">
        <f t="shared" si="17"/>
        <v>87754.863999999987</v>
      </c>
      <c r="R199">
        <f t="shared" si="18"/>
        <v>6739.5999999999913</v>
      </c>
      <c r="S199">
        <f t="shared" si="19"/>
        <v>4785.1159999999936</v>
      </c>
    </row>
    <row r="200" spans="1:19" x14ac:dyDescent="0.3">
      <c r="A200">
        <v>1072</v>
      </c>
      <c r="B200" s="1">
        <v>45286</v>
      </c>
      <c r="C200" t="s">
        <v>33</v>
      </c>
      <c r="D200" t="s">
        <v>15</v>
      </c>
      <c r="E200">
        <v>3635.5</v>
      </c>
      <c r="F200">
        <v>23</v>
      </c>
      <c r="G200" t="s">
        <v>16</v>
      </c>
      <c r="H200">
        <v>1662.83</v>
      </c>
      <c r="I200">
        <v>2074.25</v>
      </c>
      <c r="J200" t="s">
        <v>30</v>
      </c>
      <c r="K200">
        <v>0.12</v>
      </c>
      <c r="L200" t="s">
        <v>27</v>
      </c>
      <c r="M200" t="s">
        <v>19</v>
      </c>
      <c r="N200" t="s">
        <v>53</v>
      </c>
      <c r="O200" t="str">
        <f t="shared" si="15"/>
        <v>Dec</v>
      </c>
      <c r="P200" t="str">
        <f t="shared" si="16"/>
        <v>Tuesday</v>
      </c>
      <c r="Q200">
        <f t="shared" si="17"/>
        <v>33655.679199999999</v>
      </c>
      <c r="R200">
        <f t="shared" si="18"/>
        <v>9462.6600000000017</v>
      </c>
      <c r="S200">
        <f t="shared" si="19"/>
        <v>8327.140800000001</v>
      </c>
    </row>
    <row r="201" spans="1:19" x14ac:dyDescent="0.3">
      <c r="A201">
        <v>1027</v>
      </c>
      <c r="B201" s="1">
        <v>44964</v>
      </c>
      <c r="C201" t="s">
        <v>14</v>
      </c>
      <c r="D201" t="s">
        <v>21</v>
      </c>
      <c r="E201">
        <v>7896.74</v>
      </c>
      <c r="F201">
        <v>3</v>
      </c>
      <c r="G201" t="s">
        <v>26</v>
      </c>
      <c r="H201">
        <v>999.09</v>
      </c>
      <c r="I201">
        <v>1271.99</v>
      </c>
      <c r="J201" t="s">
        <v>30</v>
      </c>
      <c r="K201">
        <v>0.15</v>
      </c>
      <c r="L201" t="s">
        <v>31</v>
      </c>
      <c r="M201" t="s">
        <v>19</v>
      </c>
      <c r="N201" t="s">
        <v>23</v>
      </c>
      <c r="O201" t="str">
        <f t="shared" si="15"/>
        <v>Feb</v>
      </c>
      <c r="P201" t="str">
        <f t="shared" si="16"/>
        <v>Tuesday</v>
      </c>
      <c r="Q201">
        <f t="shared" si="17"/>
        <v>2547.6794999999997</v>
      </c>
      <c r="R201">
        <f t="shared" si="18"/>
        <v>818.69999999999993</v>
      </c>
      <c r="S201">
        <f t="shared" si="19"/>
        <v>695.89499999999987</v>
      </c>
    </row>
    <row r="202" spans="1:19"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c r="O202" t="str">
        <f t="shared" si="15"/>
        <v>May</v>
      </c>
      <c r="P202" t="str">
        <f t="shared" si="16"/>
        <v>Sunday</v>
      </c>
      <c r="Q202">
        <f t="shared" si="17"/>
        <v>79511.763999999996</v>
      </c>
      <c r="R202">
        <f t="shared" si="18"/>
        <v>17254.799999999996</v>
      </c>
      <c r="S202">
        <f t="shared" si="19"/>
        <v>12250.907999999996</v>
      </c>
    </row>
    <row r="203" spans="1:19" x14ac:dyDescent="0.3">
      <c r="A203">
        <v>1062</v>
      </c>
      <c r="B203" s="1">
        <v>45126</v>
      </c>
      <c r="C203" t="s">
        <v>33</v>
      </c>
      <c r="D203" t="s">
        <v>15</v>
      </c>
      <c r="E203">
        <v>5684.33</v>
      </c>
      <c r="F203">
        <v>10</v>
      </c>
      <c r="G203" t="s">
        <v>35</v>
      </c>
      <c r="H203">
        <v>2940.4</v>
      </c>
      <c r="I203">
        <v>3054.79</v>
      </c>
      <c r="J203" t="s">
        <v>17</v>
      </c>
      <c r="K203">
        <v>0.08</v>
      </c>
      <c r="L203" t="s">
        <v>31</v>
      </c>
      <c r="M203" t="s">
        <v>19</v>
      </c>
      <c r="N203" t="s">
        <v>53</v>
      </c>
      <c r="O203" t="str">
        <f t="shared" si="15"/>
        <v>Jul</v>
      </c>
      <c r="P203" t="str">
        <f t="shared" si="16"/>
        <v>Wednesday</v>
      </c>
      <c r="Q203">
        <f t="shared" si="17"/>
        <v>27051.68</v>
      </c>
      <c r="R203">
        <f t="shared" si="18"/>
        <v>1143.8999999999987</v>
      </c>
      <c r="S203">
        <f t="shared" si="19"/>
        <v>1052.3879999999988</v>
      </c>
    </row>
    <row r="204" spans="1:19"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c r="O204" t="str">
        <f t="shared" si="15"/>
        <v>Jan</v>
      </c>
      <c r="P204" t="str">
        <f t="shared" si="16"/>
        <v>Monday</v>
      </c>
      <c r="Q204">
        <f t="shared" si="17"/>
        <v>20417.78</v>
      </c>
      <c r="R204">
        <f t="shared" si="18"/>
        <v>7695.2499999997544</v>
      </c>
      <c r="S204">
        <f t="shared" si="19"/>
        <v>5848.3899999998139</v>
      </c>
    </row>
    <row r="205" spans="1:19"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c r="O205" t="str">
        <f t="shared" si="15"/>
        <v>Oct</v>
      </c>
      <c r="P205" t="str">
        <f t="shared" si="16"/>
        <v>Monday</v>
      </c>
      <c r="Q205">
        <f t="shared" si="17"/>
        <v>194331.44219999999</v>
      </c>
      <c r="R205">
        <f t="shared" si="18"/>
        <v>2501.9400000000196</v>
      </c>
      <c r="S205">
        <f t="shared" si="19"/>
        <v>2326.8042000000182</v>
      </c>
    </row>
    <row r="206" spans="1:19" x14ac:dyDescent="0.3">
      <c r="A206">
        <v>1051</v>
      </c>
      <c r="B206" s="1">
        <v>45272</v>
      </c>
      <c r="C206" t="s">
        <v>38</v>
      </c>
      <c r="D206" t="s">
        <v>15</v>
      </c>
      <c r="E206">
        <v>2479.9499999999998</v>
      </c>
      <c r="F206">
        <v>8</v>
      </c>
      <c r="G206" t="s">
        <v>29</v>
      </c>
      <c r="H206">
        <v>467.11</v>
      </c>
      <c r="I206">
        <v>792.21</v>
      </c>
      <c r="J206" t="s">
        <v>30</v>
      </c>
      <c r="K206">
        <v>0.2</v>
      </c>
      <c r="L206" t="s">
        <v>31</v>
      </c>
      <c r="M206" t="s">
        <v>19</v>
      </c>
      <c r="N206" t="s">
        <v>40</v>
      </c>
      <c r="O206" t="str">
        <f t="shared" si="15"/>
        <v>Dec</v>
      </c>
      <c r="P206" t="str">
        <f t="shared" si="16"/>
        <v>Tuesday</v>
      </c>
      <c r="Q206">
        <f t="shared" si="17"/>
        <v>2989.5040000000004</v>
      </c>
      <c r="R206">
        <f t="shared" si="18"/>
        <v>2600.8000000000002</v>
      </c>
      <c r="S206">
        <f t="shared" si="19"/>
        <v>2080.6400000000003</v>
      </c>
    </row>
    <row r="207" spans="1:19"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c r="O207" t="str">
        <f t="shared" si="15"/>
        <v>Oct</v>
      </c>
      <c r="P207" t="str">
        <f t="shared" si="16"/>
        <v>Sunday</v>
      </c>
      <c r="Q207">
        <f t="shared" si="17"/>
        <v>18344.119200000001</v>
      </c>
      <c r="R207">
        <f t="shared" si="18"/>
        <v>4220.0400000000009</v>
      </c>
      <c r="S207">
        <f t="shared" si="19"/>
        <v>3882.4368000000009</v>
      </c>
    </row>
    <row r="208" spans="1:19" x14ac:dyDescent="0.3">
      <c r="A208">
        <v>1024</v>
      </c>
      <c r="B208" s="1">
        <v>45289</v>
      </c>
      <c r="C208" t="s">
        <v>38</v>
      </c>
      <c r="D208" t="s">
        <v>15</v>
      </c>
      <c r="E208">
        <v>9190.57</v>
      </c>
      <c r="F208">
        <v>5</v>
      </c>
      <c r="G208" t="s">
        <v>16</v>
      </c>
      <c r="H208">
        <v>3417.9</v>
      </c>
      <c r="I208">
        <v>3714.52</v>
      </c>
      <c r="J208" t="s">
        <v>17</v>
      </c>
      <c r="K208">
        <v>0.27</v>
      </c>
      <c r="L208" t="s">
        <v>31</v>
      </c>
      <c r="M208" t="s">
        <v>22</v>
      </c>
      <c r="N208" t="s">
        <v>40</v>
      </c>
      <c r="O208" t="str">
        <f t="shared" si="15"/>
        <v>Dec</v>
      </c>
      <c r="P208" t="str">
        <f t="shared" si="16"/>
        <v>Friday</v>
      </c>
      <c r="Q208">
        <f t="shared" si="17"/>
        <v>12475.334999999999</v>
      </c>
      <c r="R208">
        <f t="shared" si="18"/>
        <v>1483.0999999999995</v>
      </c>
      <c r="S208">
        <f t="shared" si="19"/>
        <v>1082.6629999999996</v>
      </c>
    </row>
    <row r="209" spans="1:19"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c r="O209" t="str">
        <f t="shared" si="15"/>
        <v>Aug</v>
      </c>
      <c r="P209" t="str">
        <f t="shared" si="16"/>
        <v>Sunday</v>
      </c>
      <c r="Q209">
        <f t="shared" si="17"/>
        <v>52547.715000000004</v>
      </c>
      <c r="R209">
        <f t="shared" si="18"/>
        <v>6320.2499999999918</v>
      </c>
      <c r="S209">
        <f t="shared" si="19"/>
        <v>5245.8074999999926</v>
      </c>
    </row>
    <row r="210" spans="1:19"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c r="O210" t="str">
        <f t="shared" si="15"/>
        <v>May</v>
      </c>
      <c r="P210" t="str">
        <f t="shared" si="16"/>
        <v>Sunday</v>
      </c>
      <c r="Q210">
        <f t="shared" si="17"/>
        <v>144232.31219999999</v>
      </c>
      <c r="R210">
        <f t="shared" si="18"/>
        <v>938.31999999965137</v>
      </c>
      <c r="S210">
        <f t="shared" si="19"/>
        <v>882.02079999967225</v>
      </c>
    </row>
    <row r="211" spans="1:19"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c r="O211" t="str">
        <f t="shared" si="15"/>
        <v>Apr</v>
      </c>
      <c r="P211" t="str">
        <f t="shared" si="16"/>
        <v>Friday</v>
      </c>
      <c r="Q211">
        <f t="shared" si="17"/>
        <v>155361.8475</v>
      </c>
      <c r="R211">
        <f t="shared" si="18"/>
        <v>3083.850000000009</v>
      </c>
      <c r="S211">
        <f t="shared" si="19"/>
        <v>2867.9805000000083</v>
      </c>
    </row>
    <row r="212" spans="1:19" x14ac:dyDescent="0.3">
      <c r="A212">
        <v>1096</v>
      </c>
      <c r="B212" s="1">
        <v>45136</v>
      </c>
      <c r="C212" t="s">
        <v>33</v>
      </c>
      <c r="D212" t="s">
        <v>21</v>
      </c>
      <c r="E212">
        <v>485.41</v>
      </c>
      <c r="F212">
        <v>38</v>
      </c>
      <c r="G212" t="s">
        <v>35</v>
      </c>
      <c r="H212">
        <v>3955.66</v>
      </c>
      <c r="I212">
        <v>4270.59</v>
      </c>
      <c r="J212" t="s">
        <v>17</v>
      </c>
      <c r="K212">
        <v>0.15</v>
      </c>
      <c r="L212" t="s">
        <v>31</v>
      </c>
      <c r="M212" t="s">
        <v>19</v>
      </c>
      <c r="N212" t="s">
        <v>37</v>
      </c>
      <c r="O212" t="str">
        <f t="shared" si="15"/>
        <v>Jul</v>
      </c>
      <c r="P212" t="str">
        <f t="shared" si="16"/>
        <v>Saturday</v>
      </c>
      <c r="Q212">
        <f t="shared" si="17"/>
        <v>127767.81799999998</v>
      </c>
      <c r="R212">
        <f t="shared" si="18"/>
        <v>11967.340000000011</v>
      </c>
      <c r="S212">
        <f t="shared" si="19"/>
        <v>10172.239000000009</v>
      </c>
    </row>
    <row r="213" spans="1:19"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c r="O213" t="str">
        <f t="shared" si="15"/>
        <v>Apr</v>
      </c>
      <c r="P213" t="str">
        <f t="shared" si="16"/>
        <v>Friday</v>
      </c>
      <c r="Q213">
        <f t="shared" si="17"/>
        <v>13168.9522</v>
      </c>
      <c r="R213">
        <f t="shared" si="18"/>
        <v>13568.23</v>
      </c>
      <c r="S213">
        <f t="shared" si="19"/>
        <v>9633.443299999999</v>
      </c>
    </row>
    <row r="214" spans="1:19" x14ac:dyDescent="0.3">
      <c r="A214">
        <v>1052</v>
      </c>
      <c r="B214" s="1">
        <v>45030</v>
      </c>
      <c r="C214" t="s">
        <v>24</v>
      </c>
      <c r="D214" t="s">
        <v>15</v>
      </c>
      <c r="E214">
        <v>1834.7</v>
      </c>
      <c r="F214">
        <v>5</v>
      </c>
      <c r="G214" t="s">
        <v>16</v>
      </c>
      <c r="H214">
        <v>745.71</v>
      </c>
      <c r="I214">
        <v>856.91</v>
      </c>
      <c r="J214" t="s">
        <v>17</v>
      </c>
      <c r="K214">
        <v>0.23</v>
      </c>
      <c r="L214" t="s">
        <v>27</v>
      </c>
      <c r="M214" t="s">
        <v>22</v>
      </c>
      <c r="N214" t="s">
        <v>45</v>
      </c>
      <c r="O214" t="str">
        <f t="shared" si="15"/>
        <v>Apr</v>
      </c>
      <c r="P214" t="str">
        <f t="shared" si="16"/>
        <v>Friday</v>
      </c>
      <c r="Q214">
        <f t="shared" si="17"/>
        <v>2870.9835000000003</v>
      </c>
      <c r="R214">
        <f t="shared" si="18"/>
        <v>555.99999999999966</v>
      </c>
      <c r="S214">
        <f t="shared" si="19"/>
        <v>428.11999999999972</v>
      </c>
    </row>
    <row r="215" spans="1:19"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c r="O215" t="str">
        <f t="shared" si="15"/>
        <v>Nov</v>
      </c>
      <c r="P215" t="str">
        <f t="shared" si="16"/>
        <v>Sunday</v>
      </c>
      <c r="Q215">
        <f t="shared" si="17"/>
        <v>11230.582499999999</v>
      </c>
      <c r="R215">
        <f t="shared" si="18"/>
        <v>3331.4400000000005</v>
      </c>
      <c r="S215">
        <f t="shared" si="19"/>
        <v>2831.7240000000002</v>
      </c>
    </row>
    <row r="216" spans="1:19" x14ac:dyDescent="0.3">
      <c r="A216">
        <v>1058</v>
      </c>
      <c r="B216" s="1">
        <v>45097</v>
      </c>
      <c r="C216" t="s">
        <v>38</v>
      </c>
      <c r="D216" t="s">
        <v>21</v>
      </c>
      <c r="E216">
        <v>2896.54</v>
      </c>
      <c r="F216">
        <v>48</v>
      </c>
      <c r="G216" t="s">
        <v>29</v>
      </c>
      <c r="H216">
        <v>2614.48</v>
      </c>
      <c r="I216">
        <v>3049.04</v>
      </c>
      <c r="J216" t="s">
        <v>30</v>
      </c>
      <c r="K216">
        <v>0.1</v>
      </c>
      <c r="L216" t="s">
        <v>31</v>
      </c>
      <c r="M216" t="s">
        <v>22</v>
      </c>
      <c r="N216" t="s">
        <v>41</v>
      </c>
      <c r="O216" t="str">
        <f t="shared" si="15"/>
        <v>Jun</v>
      </c>
      <c r="P216" t="str">
        <f t="shared" si="16"/>
        <v>Tuesday</v>
      </c>
      <c r="Q216">
        <f t="shared" si="17"/>
        <v>112945.53600000001</v>
      </c>
      <c r="R216">
        <f t="shared" si="18"/>
        <v>20858.879999999997</v>
      </c>
      <c r="S216">
        <f t="shared" si="19"/>
        <v>18772.991999999998</v>
      </c>
    </row>
    <row r="217" spans="1:19"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c r="O217" t="str">
        <f t="shared" si="15"/>
        <v>Dec</v>
      </c>
      <c r="P217" t="str">
        <f t="shared" si="16"/>
        <v>Friday</v>
      </c>
      <c r="Q217">
        <f t="shared" si="17"/>
        <v>6304.5023999999994</v>
      </c>
      <c r="R217">
        <f t="shared" si="18"/>
        <v>530.46</v>
      </c>
      <c r="S217">
        <f t="shared" si="19"/>
        <v>445.58640000000003</v>
      </c>
    </row>
    <row r="218" spans="1:19"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c r="O218" t="str">
        <f t="shared" si="15"/>
        <v>Nov</v>
      </c>
      <c r="P218" t="str">
        <f t="shared" si="16"/>
        <v>Monday</v>
      </c>
      <c r="Q218">
        <f t="shared" si="17"/>
        <v>3268.8474000000001</v>
      </c>
      <c r="R218">
        <f t="shared" si="18"/>
        <v>337.9399999999905</v>
      </c>
      <c r="S218">
        <f t="shared" si="19"/>
        <v>263.59319999999258</v>
      </c>
    </row>
    <row r="219" spans="1:19"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c r="O219" t="str">
        <f t="shared" si="15"/>
        <v>May</v>
      </c>
      <c r="P219" t="str">
        <f t="shared" si="16"/>
        <v>Saturday</v>
      </c>
      <c r="Q219">
        <f t="shared" si="17"/>
        <v>107508.38399999999</v>
      </c>
      <c r="R219">
        <f t="shared" si="18"/>
        <v>16374.400000000005</v>
      </c>
      <c r="S219">
        <f t="shared" si="19"/>
        <v>12444.544000000004</v>
      </c>
    </row>
    <row r="220" spans="1:19" x14ac:dyDescent="0.3">
      <c r="A220">
        <v>1002</v>
      </c>
      <c r="B220" s="1">
        <v>45219</v>
      </c>
      <c r="C220" t="s">
        <v>24</v>
      </c>
      <c r="D220" t="s">
        <v>15</v>
      </c>
      <c r="E220">
        <v>5842.88</v>
      </c>
      <c r="F220">
        <v>30</v>
      </c>
      <c r="G220" t="s">
        <v>29</v>
      </c>
      <c r="H220">
        <v>4646.55</v>
      </c>
      <c r="I220">
        <v>4784.28</v>
      </c>
      <c r="J220" t="s">
        <v>17</v>
      </c>
      <c r="K220">
        <v>0.1</v>
      </c>
      <c r="L220" t="s">
        <v>31</v>
      </c>
      <c r="M220" t="s">
        <v>22</v>
      </c>
      <c r="N220" t="s">
        <v>45</v>
      </c>
      <c r="O220" t="str">
        <f t="shared" si="15"/>
        <v>Oct</v>
      </c>
      <c r="P220" t="str">
        <f t="shared" si="16"/>
        <v>Friday</v>
      </c>
      <c r="Q220">
        <f t="shared" si="17"/>
        <v>125456.85</v>
      </c>
      <c r="R220">
        <f t="shared" si="18"/>
        <v>4131.8999999999869</v>
      </c>
      <c r="S220">
        <f t="shared" si="19"/>
        <v>3718.7099999999882</v>
      </c>
    </row>
    <row r="221" spans="1:19"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c r="O221" t="str">
        <f t="shared" si="15"/>
        <v>Nov</v>
      </c>
      <c r="P221" t="str">
        <f t="shared" si="16"/>
        <v>Friday</v>
      </c>
      <c r="Q221">
        <f t="shared" si="17"/>
        <v>31804.172400000003</v>
      </c>
      <c r="R221">
        <f t="shared" si="18"/>
        <v>1710.2800000000002</v>
      </c>
      <c r="S221">
        <f t="shared" si="19"/>
        <v>1334.0184000000002</v>
      </c>
    </row>
    <row r="222" spans="1:19" x14ac:dyDescent="0.3">
      <c r="A222">
        <v>1056</v>
      </c>
      <c r="B222" s="1">
        <v>45053</v>
      </c>
      <c r="C222" t="s">
        <v>24</v>
      </c>
      <c r="D222" t="s">
        <v>34</v>
      </c>
      <c r="E222">
        <v>7611.88</v>
      </c>
      <c r="F222">
        <v>28</v>
      </c>
      <c r="G222" t="s">
        <v>29</v>
      </c>
      <c r="H222">
        <v>1566.03</v>
      </c>
      <c r="I222">
        <v>1576.34</v>
      </c>
      <c r="J222" t="s">
        <v>17</v>
      </c>
      <c r="K222">
        <v>0.2</v>
      </c>
      <c r="L222" t="s">
        <v>27</v>
      </c>
      <c r="M222" t="s">
        <v>19</v>
      </c>
      <c r="N222" t="s">
        <v>50</v>
      </c>
      <c r="O222" t="str">
        <f t="shared" si="15"/>
        <v>May</v>
      </c>
      <c r="P222" t="str">
        <f t="shared" si="16"/>
        <v>Sunday</v>
      </c>
      <c r="Q222">
        <f t="shared" si="17"/>
        <v>35079.072</v>
      </c>
      <c r="R222">
        <f t="shared" si="18"/>
        <v>288.67999999999847</v>
      </c>
      <c r="S222">
        <f t="shared" si="19"/>
        <v>230.94399999999879</v>
      </c>
    </row>
    <row r="223" spans="1:19"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c r="O223" t="str">
        <f t="shared" si="15"/>
        <v>Apr</v>
      </c>
      <c r="P223" t="str">
        <f t="shared" si="16"/>
        <v>Sunday</v>
      </c>
      <c r="Q223">
        <f t="shared" si="17"/>
        <v>42553.565999999999</v>
      </c>
      <c r="R223">
        <f t="shared" si="18"/>
        <v>21204.479999999992</v>
      </c>
      <c r="S223">
        <f t="shared" si="19"/>
        <v>15055.180799999995</v>
      </c>
    </row>
    <row r="224" spans="1:19"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c r="O224" t="str">
        <f t="shared" si="15"/>
        <v>Apr</v>
      </c>
      <c r="P224" t="str">
        <f t="shared" si="16"/>
        <v>Sunday</v>
      </c>
      <c r="Q224">
        <f t="shared" si="17"/>
        <v>30206.736000000001</v>
      </c>
      <c r="R224">
        <f t="shared" si="18"/>
        <v>5515.1999999999989</v>
      </c>
      <c r="S224">
        <f t="shared" si="19"/>
        <v>3970.9439999999991</v>
      </c>
    </row>
    <row r="225" spans="1:19"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c r="O225" t="str">
        <f t="shared" si="15"/>
        <v>Oct</v>
      </c>
      <c r="P225" t="str">
        <f t="shared" si="16"/>
        <v>Saturday</v>
      </c>
      <c r="Q225">
        <f t="shared" si="17"/>
        <v>29779.604400000004</v>
      </c>
      <c r="R225">
        <f t="shared" si="18"/>
        <v>15000.959999999995</v>
      </c>
      <c r="S225">
        <f t="shared" si="19"/>
        <v>11400.729599999997</v>
      </c>
    </row>
    <row r="226" spans="1:19"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c r="O226" t="str">
        <f t="shared" si="15"/>
        <v>Feb</v>
      </c>
      <c r="P226" t="str">
        <f t="shared" si="16"/>
        <v>Monday</v>
      </c>
      <c r="Q226">
        <f t="shared" si="17"/>
        <v>10321.3032</v>
      </c>
      <c r="R226">
        <f t="shared" si="18"/>
        <v>1267.5000000000014</v>
      </c>
      <c r="S226">
        <f t="shared" si="19"/>
        <v>988.65000000000111</v>
      </c>
    </row>
    <row r="227" spans="1:19" x14ac:dyDescent="0.3">
      <c r="A227">
        <v>1092</v>
      </c>
      <c r="B227" s="1">
        <v>44955</v>
      </c>
      <c r="C227" t="s">
        <v>14</v>
      </c>
      <c r="D227" t="s">
        <v>25</v>
      </c>
      <c r="E227">
        <v>8936.33</v>
      </c>
      <c r="F227">
        <v>13</v>
      </c>
      <c r="G227" t="s">
        <v>29</v>
      </c>
      <c r="H227">
        <v>2684.5</v>
      </c>
      <c r="I227">
        <v>2913.78</v>
      </c>
      <c r="J227" t="s">
        <v>30</v>
      </c>
      <c r="K227">
        <v>0.08</v>
      </c>
      <c r="L227" t="s">
        <v>31</v>
      </c>
      <c r="M227" t="s">
        <v>22</v>
      </c>
      <c r="N227" t="s">
        <v>32</v>
      </c>
      <c r="O227" t="str">
        <f t="shared" si="15"/>
        <v>Jan</v>
      </c>
      <c r="P227" t="str">
        <f t="shared" si="16"/>
        <v>Sunday</v>
      </c>
      <c r="Q227">
        <f t="shared" si="17"/>
        <v>32106.620000000003</v>
      </c>
      <c r="R227">
        <f t="shared" si="18"/>
        <v>2980.6400000000026</v>
      </c>
      <c r="S227">
        <f t="shared" si="19"/>
        <v>2742.1888000000026</v>
      </c>
    </row>
    <row r="228" spans="1:19"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c r="O228" t="str">
        <f t="shared" si="15"/>
        <v>Oct</v>
      </c>
      <c r="P228" t="str">
        <f t="shared" si="16"/>
        <v>Monday</v>
      </c>
      <c r="Q228">
        <f t="shared" si="17"/>
        <v>24702.78</v>
      </c>
      <c r="R228">
        <f t="shared" si="18"/>
        <v>479.44000000000233</v>
      </c>
      <c r="S228">
        <f t="shared" si="19"/>
        <v>359.58000000000175</v>
      </c>
    </row>
    <row r="229" spans="1:19"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c r="O229" t="str">
        <f t="shared" si="15"/>
        <v>Oct</v>
      </c>
      <c r="P229" t="str">
        <f t="shared" si="16"/>
        <v>Tuesday</v>
      </c>
      <c r="Q229">
        <f t="shared" si="17"/>
        <v>13442.578800000001</v>
      </c>
      <c r="R229">
        <f t="shared" si="18"/>
        <v>498.39999999999873</v>
      </c>
      <c r="S229">
        <f t="shared" si="19"/>
        <v>433.60799999999887</v>
      </c>
    </row>
    <row r="230" spans="1:19" x14ac:dyDescent="0.3">
      <c r="A230">
        <v>1096</v>
      </c>
      <c r="B230" s="1">
        <v>45140</v>
      </c>
      <c r="C230" t="s">
        <v>14</v>
      </c>
      <c r="D230" t="s">
        <v>15</v>
      </c>
      <c r="E230">
        <v>4815.72</v>
      </c>
      <c r="F230">
        <v>30</v>
      </c>
      <c r="G230" t="s">
        <v>35</v>
      </c>
      <c r="H230">
        <v>3969.86</v>
      </c>
      <c r="I230">
        <v>4281.79</v>
      </c>
      <c r="J230" t="s">
        <v>17</v>
      </c>
      <c r="K230">
        <v>0.08</v>
      </c>
      <c r="L230" t="s">
        <v>27</v>
      </c>
      <c r="M230" t="s">
        <v>22</v>
      </c>
      <c r="N230" t="s">
        <v>20</v>
      </c>
      <c r="O230" t="str">
        <f t="shared" si="15"/>
        <v>Aug</v>
      </c>
      <c r="P230" t="str">
        <f t="shared" si="16"/>
        <v>Wednesday</v>
      </c>
      <c r="Q230">
        <f t="shared" si="17"/>
        <v>109568.13600000001</v>
      </c>
      <c r="R230">
        <f t="shared" si="18"/>
        <v>9357.8999999999942</v>
      </c>
      <c r="S230">
        <f t="shared" si="19"/>
        <v>8609.2679999999946</v>
      </c>
    </row>
    <row r="231" spans="1:19"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c r="O231" t="str">
        <f t="shared" si="15"/>
        <v>Sep</v>
      </c>
      <c r="P231" t="str">
        <f t="shared" si="16"/>
        <v>Sunday</v>
      </c>
      <c r="Q231">
        <f t="shared" si="17"/>
        <v>32212.857600000003</v>
      </c>
      <c r="R231">
        <f t="shared" si="18"/>
        <v>4327.2899999999991</v>
      </c>
      <c r="S231">
        <f t="shared" si="19"/>
        <v>3808.0151999999994</v>
      </c>
    </row>
    <row r="232" spans="1:19"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c r="O232" t="str">
        <f t="shared" si="15"/>
        <v>Sep</v>
      </c>
      <c r="P232" t="str">
        <f t="shared" si="16"/>
        <v>Thursday</v>
      </c>
      <c r="Q232">
        <f t="shared" si="17"/>
        <v>71289.85500000001</v>
      </c>
      <c r="R232">
        <f t="shared" si="18"/>
        <v>17643.989999999994</v>
      </c>
      <c r="S232">
        <f t="shared" si="19"/>
        <v>13232.992499999997</v>
      </c>
    </row>
    <row r="233" spans="1:19" x14ac:dyDescent="0.3">
      <c r="A233">
        <v>1019</v>
      </c>
      <c r="B233" s="1">
        <v>45228</v>
      </c>
      <c r="C233" t="s">
        <v>24</v>
      </c>
      <c r="D233" t="s">
        <v>21</v>
      </c>
      <c r="E233">
        <v>5952.19</v>
      </c>
      <c r="F233">
        <v>31</v>
      </c>
      <c r="G233" t="s">
        <v>26</v>
      </c>
      <c r="H233">
        <v>333.69</v>
      </c>
      <c r="I233">
        <v>685.1</v>
      </c>
      <c r="J233" t="s">
        <v>30</v>
      </c>
      <c r="K233">
        <v>0.04</v>
      </c>
      <c r="L233" t="s">
        <v>27</v>
      </c>
      <c r="M233" t="s">
        <v>19</v>
      </c>
      <c r="N233" t="s">
        <v>47</v>
      </c>
      <c r="O233" t="str">
        <f t="shared" si="15"/>
        <v>Oct</v>
      </c>
      <c r="P233" t="str">
        <f t="shared" si="16"/>
        <v>Sunday</v>
      </c>
      <c r="Q233">
        <f t="shared" si="17"/>
        <v>9930.6143999999986</v>
      </c>
      <c r="R233">
        <f t="shared" si="18"/>
        <v>10893.710000000001</v>
      </c>
      <c r="S233">
        <f t="shared" si="19"/>
        <v>10457.961600000001</v>
      </c>
    </row>
    <row r="234" spans="1:19"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c r="O234" t="str">
        <f t="shared" si="15"/>
        <v>Apr</v>
      </c>
      <c r="P234" t="str">
        <f t="shared" si="16"/>
        <v>Tuesday</v>
      </c>
      <c r="Q234">
        <f t="shared" si="17"/>
        <v>16510.813200000001</v>
      </c>
      <c r="R234">
        <f t="shared" si="18"/>
        <v>1204.3500000000004</v>
      </c>
      <c r="S234">
        <f t="shared" si="19"/>
        <v>1035.7410000000002</v>
      </c>
    </row>
    <row r="235" spans="1:19" x14ac:dyDescent="0.3">
      <c r="A235">
        <v>1053</v>
      </c>
      <c r="B235" s="1">
        <v>45272</v>
      </c>
      <c r="C235" t="s">
        <v>42</v>
      </c>
      <c r="D235" t="s">
        <v>25</v>
      </c>
      <c r="E235">
        <v>3382.49</v>
      </c>
      <c r="F235">
        <v>47</v>
      </c>
      <c r="G235" t="s">
        <v>35</v>
      </c>
      <c r="H235">
        <v>3551.76</v>
      </c>
      <c r="I235">
        <v>3696.1</v>
      </c>
      <c r="J235" t="s">
        <v>17</v>
      </c>
      <c r="K235">
        <v>0.15</v>
      </c>
      <c r="L235" t="s">
        <v>27</v>
      </c>
      <c r="M235" t="s">
        <v>22</v>
      </c>
      <c r="N235" t="s">
        <v>43</v>
      </c>
      <c r="O235" t="str">
        <f t="shared" si="15"/>
        <v>Dec</v>
      </c>
      <c r="P235" t="str">
        <f t="shared" si="16"/>
        <v>Tuesday</v>
      </c>
      <c r="Q235">
        <f t="shared" si="17"/>
        <v>141892.81200000001</v>
      </c>
      <c r="R235">
        <f t="shared" si="18"/>
        <v>6783.979999999985</v>
      </c>
      <c r="S235">
        <f t="shared" si="19"/>
        <v>5766.3829999999871</v>
      </c>
    </row>
    <row r="236" spans="1:19"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c r="O236" t="str">
        <f t="shared" si="15"/>
        <v>Apr</v>
      </c>
      <c r="P236" t="str">
        <f t="shared" si="16"/>
        <v>Thursday</v>
      </c>
      <c r="Q236">
        <f t="shared" si="17"/>
        <v>120277.27800000001</v>
      </c>
      <c r="R236">
        <f t="shared" si="18"/>
        <v>5672.2199999999975</v>
      </c>
      <c r="S236">
        <f t="shared" si="19"/>
        <v>5615.4977999999974</v>
      </c>
    </row>
    <row r="237" spans="1:19"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c r="O237" t="str">
        <f t="shared" si="15"/>
        <v>Jul</v>
      </c>
      <c r="P237" t="str">
        <f t="shared" si="16"/>
        <v>Saturday</v>
      </c>
      <c r="Q237">
        <f t="shared" si="17"/>
        <v>131038.50039999999</v>
      </c>
      <c r="R237">
        <f t="shared" si="18"/>
        <v>11902.139999999705</v>
      </c>
      <c r="S237">
        <f t="shared" si="19"/>
        <v>11188.011599999722</v>
      </c>
    </row>
    <row r="238" spans="1:19" x14ac:dyDescent="0.3">
      <c r="A238">
        <v>1032</v>
      </c>
      <c r="B238" s="1">
        <v>45239</v>
      </c>
      <c r="C238" t="s">
        <v>14</v>
      </c>
      <c r="D238" t="s">
        <v>34</v>
      </c>
      <c r="E238">
        <v>804.47</v>
      </c>
      <c r="F238">
        <v>25</v>
      </c>
      <c r="G238" t="s">
        <v>35</v>
      </c>
      <c r="H238">
        <v>2934.3</v>
      </c>
      <c r="I238">
        <v>3337.4</v>
      </c>
      <c r="J238" t="s">
        <v>17</v>
      </c>
      <c r="K238">
        <v>0.25</v>
      </c>
      <c r="L238" t="s">
        <v>31</v>
      </c>
      <c r="M238" t="s">
        <v>22</v>
      </c>
      <c r="N238" t="s">
        <v>46</v>
      </c>
      <c r="O238" t="str">
        <f t="shared" si="15"/>
        <v>Nov</v>
      </c>
      <c r="P238" t="str">
        <f t="shared" si="16"/>
        <v>Thursday</v>
      </c>
      <c r="Q238">
        <f t="shared" si="17"/>
        <v>55018.125</v>
      </c>
      <c r="R238">
        <f t="shared" si="18"/>
        <v>10077.499999999998</v>
      </c>
      <c r="S238">
        <f t="shared" si="19"/>
        <v>7558.1249999999982</v>
      </c>
    </row>
    <row r="239" spans="1:19" x14ac:dyDescent="0.3">
      <c r="A239">
        <v>1070</v>
      </c>
      <c r="B239" s="1">
        <v>44927</v>
      </c>
      <c r="C239" t="s">
        <v>38</v>
      </c>
      <c r="D239" t="s">
        <v>25</v>
      </c>
      <c r="E239">
        <v>783.18</v>
      </c>
      <c r="F239">
        <v>12</v>
      </c>
      <c r="G239" t="s">
        <v>16</v>
      </c>
      <c r="H239">
        <v>664.33</v>
      </c>
      <c r="I239">
        <v>863.03</v>
      </c>
      <c r="J239" t="s">
        <v>17</v>
      </c>
      <c r="K239">
        <v>0.25</v>
      </c>
      <c r="L239" t="s">
        <v>27</v>
      </c>
      <c r="M239" t="s">
        <v>22</v>
      </c>
      <c r="N239" t="s">
        <v>39</v>
      </c>
      <c r="O239" t="str">
        <f t="shared" si="15"/>
        <v>Jan</v>
      </c>
      <c r="P239" t="str">
        <f t="shared" si="16"/>
        <v>Sunday</v>
      </c>
      <c r="Q239">
        <f t="shared" si="17"/>
        <v>5978.9700000000012</v>
      </c>
      <c r="R239">
        <f t="shared" si="18"/>
        <v>2384.3999999999992</v>
      </c>
      <c r="S239">
        <f t="shared" si="19"/>
        <v>1788.2999999999993</v>
      </c>
    </row>
    <row r="240" spans="1:19" x14ac:dyDescent="0.3">
      <c r="A240">
        <v>1032</v>
      </c>
      <c r="B240" s="1">
        <v>45245</v>
      </c>
      <c r="C240" t="s">
        <v>42</v>
      </c>
      <c r="D240" t="s">
        <v>21</v>
      </c>
      <c r="E240">
        <v>9413.77</v>
      </c>
      <c r="F240">
        <v>1</v>
      </c>
      <c r="G240" t="s">
        <v>26</v>
      </c>
      <c r="H240">
        <v>651</v>
      </c>
      <c r="I240">
        <v>865.76</v>
      </c>
      <c r="J240" t="s">
        <v>17</v>
      </c>
      <c r="K240">
        <v>0.09</v>
      </c>
      <c r="L240" t="s">
        <v>27</v>
      </c>
      <c r="M240" t="s">
        <v>22</v>
      </c>
      <c r="N240" t="s">
        <v>51</v>
      </c>
      <c r="O240" t="str">
        <f t="shared" si="15"/>
        <v>Nov</v>
      </c>
      <c r="P240" t="str">
        <f t="shared" si="16"/>
        <v>Wednesday</v>
      </c>
      <c r="Q240">
        <f t="shared" si="17"/>
        <v>592.41</v>
      </c>
      <c r="R240">
        <f t="shared" si="18"/>
        <v>214.76</v>
      </c>
      <c r="S240">
        <f t="shared" si="19"/>
        <v>195.4316</v>
      </c>
    </row>
    <row r="241" spans="1:19" x14ac:dyDescent="0.3">
      <c r="A241">
        <v>1068</v>
      </c>
      <c r="B241" s="1">
        <v>44981</v>
      </c>
      <c r="C241" t="s">
        <v>14</v>
      </c>
      <c r="D241" t="s">
        <v>15</v>
      </c>
      <c r="E241">
        <v>5118.51</v>
      </c>
      <c r="F241">
        <v>22</v>
      </c>
      <c r="G241" t="s">
        <v>29</v>
      </c>
      <c r="H241">
        <v>3619.61</v>
      </c>
      <c r="I241">
        <v>3651.42</v>
      </c>
      <c r="J241" t="s">
        <v>17</v>
      </c>
      <c r="K241">
        <v>0.26</v>
      </c>
      <c r="L241" t="s">
        <v>27</v>
      </c>
      <c r="M241" t="s">
        <v>19</v>
      </c>
      <c r="N241" t="s">
        <v>20</v>
      </c>
      <c r="O241" t="str">
        <f t="shared" si="15"/>
        <v>Feb</v>
      </c>
      <c r="P241" t="str">
        <f t="shared" si="16"/>
        <v>Friday</v>
      </c>
      <c r="Q241">
        <f t="shared" si="17"/>
        <v>58927.250800000002</v>
      </c>
      <c r="R241">
        <f t="shared" si="18"/>
        <v>699.8199999999988</v>
      </c>
      <c r="S241">
        <f t="shared" si="19"/>
        <v>517.8667999999991</v>
      </c>
    </row>
    <row r="242" spans="1:19"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c r="O242" t="str">
        <f t="shared" si="15"/>
        <v>May</v>
      </c>
      <c r="P242" t="str">
        <f t="shared" si="16"/>
        <v>Monday</v>
      </c>
      <c r="Q242">
        <f t="shared" si="17"/>
        <v>29559.683999999997</v>
      </c>
      <c r="R242">
        <f t="shared" si="18"/>
        <v>6067.2000000000025</v>
      </c>
      <c r="S242">
        <f t="shared" si="19"/>
        <v>4671.7440000000024</v>
      </c>
    </row>
    <row r="243" spans="1:19"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c r="O243" t="str">
        <f t="shared" si="15"/>
        <v>Nov</v>
      </c>
      <c r="P243" t="str">
        <f t="shared" si="16"/>
        <v>Sunday</v>
      </c>
      <c r="Q243">
        <f t="shared" si="17"/>
        <v>53934.666900000004</v>
      </c>
      <c r="R243">
        <f t="shared" si="18"/>
        <v>8551.8099999996339</v>
      </c>
      <c r="S243">
        <f t="shared" si="19"/>
        <v>7440.0746999996818</v>
      </c>
    </row>
    <row r="244" spans="1:19"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c r="O244" t="str">
        <f t="shared" si="15"/>
        <v>May</v>
      </c>
      <c r="P244" t="str">
        <f t="shared" si="16"/>
        <v>Wednesday</v>
      </c>
      <c r="Q244">
        <f t="shared" si="17"/>
        <v>90245.921999999991</v>
      </c>
      <c r="R244">
        <f t="shared" si="18"/>
        <v>3164.0400000000077</v>
      </c>
      <c r="S244">
        <f t="shared" si="19"/>
        <v>2467.9512000000059</v>
      </c>
    </row>
    <row r="245" spans="1:19"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c r="O245" t="str">
        <f t="shared" si="15"/>
        <v>Jul</v>
      </c>
      <c r="P245" t="str">
        <f t="shared" si="16"/>
        <v>Friday</v>
      </c>
      <c r="Q245">
        <f t="shared" si="17"/>
        <v>122.5389</v>
      </c>
      <c r="R245">
        <f t="shared" si="18"/>
        <v>232.1</v>
      </c>
      <c r="S245">
        <f t="shared" si="19"/>
        <v>164.791</v>
      </c>
    </row>
    <row r="246" spans="1:19"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c r="O246" t="str">
        <f t="shared" si="15"/>
        <v>Nov</v>
      </c>
      <c r="P246" t="str">
        <f t="shared" si="16"/>
        <v>Thursday</v>
      </c>
      <c r="Q246">
        <f t="shared" si="17"/>
        <v>1102.2190000000001</v>
      </c>
      <c r="R246">
        <f t="shared" si="18"/>
        <v>428.05999999999995</v>
      </c>
      <c r="S246">
        <f t="shared" si="19"/>
        <v>368.13159999999993</v>
      </c>
    </row>
    <row r="247" spans="1:19"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c r="O247" t="str">
        <f t="shared" si="15"/>
        <v>Apr</v>
      </c>
      <c r="P247" t="str">
        <f t="shared" si="16"/>
        <v>Thursday</v>
      </c>
      <c r="Q247">
        <f t="shared" si="17"/>
        <v>80817.092999999993</v>
      </c>
      <c r="R247">
        <f t="shared" si="18"/>
        <v>12383.699999999997</v>
      </c>
      <c r="S247">
        <f t="shared" si="19"/>
        <v>11516.840999999997</v>
      </c>
    </row>
    <row r="248" spans="1:19"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c r="O248" t="str">
        <f t="shared" si="15"/>
        <v>Jun</v>
      </c>
      <c r="P248" t="str">
        <f t="shared" si="16"/>
        <v>Saturday</v>
      </c>
      <c r="Q248">
        <f t="shared" si="17"/>
        <v>43370.207999999999</v>
      </c>
      <c r="R248">
        <f t="shared" si="18"/>
        <v>2044.5600000000027</v>
      </c>
      <c r="S248">
        <f t="shared" si="19"/>
        <v>1472.0832000000019</v>
      </c>
    </row>
    <row r="249" spans="1:19"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c r="O249" t="str">
        <f t="shared" si="15"/>
        <v>Oct</v>
      </c>
      <c r="P249" t="str">
        <f t="shared" si="16"/>
        <v>Wednesday</v>
      </c>
      <c r="Q249">
        <f t="shared" si="17"/>
        <v>12485.016600000001</v>
      </c>
      <c r="R249">
        <f t="shared" si="18"/>
        <v>2182.3199999999802</v>
      </c>
      <c r="S249">
        <f t="shared" si="19"/>
        <v>1789.5023999999839</v>
      </c>
    </row>
    <row r="250" spans="1:19" x14ac:dyDescent="0.3">
      <c r="A250">
        <v>1070</v>
      </c>
      <c r="B250" s="1">
        <v>44989</v>
      </c>
      <c r="C250" t="s">
        <v>14</v>
      </c>
      <c r="D250" t="s">
        <v>25</v>
      </c>
      <c r="E250">
        <v>8771.24</v>
      </c>
      <c r="F250">
        <v>15</v>
      </c>
      <c r="G250" t="s">
        <v>35</v>
      </c>
      <c r="H250">
        <v>3653.66</v>
      </c>
      <c r="I250">
        <v>3896.19</v>
      </c>
      <c r="J250" t="s">
        <v>30</v>
      </c>
      <c r="K250">
        <v>0.03</v>
      </c>
      <c r="L250" t="s">
        <v>31</v>
      </c>
      <c r="M250" t="s">
        <v>22</v>
      </c>
      <c r="N250" t="s">
        <v>32</v>
      </c>
      <c r="O250" t="str">
        <f t="shared" si="15"/>
        <v>Mar</v>
      </c>
      <c r="P250" t="str">
        <f t="shared" si="16"/>
        <v>Saturday</v>
      </c>
      <c r="Q250">
        <f t="shared" si="17"/>
        <v>53160.75299999999</v>
      </c>
      <c r="R250">
        <f t="shared" si="18"/>
        <v>3637.950000000003</v>
      </c>
      <c r="S250">
        <f t="shared" si="19"/>
        <v>3528.811500000003</v>
      </c>
    </row>
    <row r="251" spans="1:19" x14ac:dyDescent="0.3">
      <c r="A251">
        <v>1086</v>
      </c>
      <c r="B251" s="1">
        <v>45170</v>
      </c>
      <c r="C251" t="s">
        <v>33</v>
      </c>
      <c r="D251" t="s">
        <v>21</v>
      </c>
      <c r="E251">
        <v>5437.04</v>
      </c>
      <c r="F251">
        <v>17</v>
      </c>
      <c r="G251" t="s">
        <v>35</v>
      </c>
      <c r="H251">
        <v>4075.08</v>
      </c>
      <c r="I251">
        <v>4262.21</v>
      </c>
      <c r="J251" t="s">
        <v>30</v>
      </c>
      <c r="K251">
        <v>0.17</v>
      </c>
      <c r="L251" t="s">
        <v>18</v>
      </c>
      <c r="M251" t="s">
        <v>19</v>
      </c>
      <c r="N251" t="s">
        <v>37</v>
      </c>
      <c r="O251" t="str">
        <f t="shared" si="15"/>
        <v>Sep</v>
      </c>
      <c r="P251" t="str">
        <f t="shared" si="16"/>
        <v>Friday</v>
      </c>
      <c r="Q251">
        <f t="shared" si="17"/>
        <v>57499.378799999999</v>
      </c>
      <c r="R251">
        <f t="shared" si="18"/>
        <v>3181.2100000000019</v>
      </c>
      <c r="S251">
        <f t="shared" si="19"/>
        <v>2640.4043000000015</v>
      </c>
    </row>
    <row r="252" spans="1:19" x14ac:dyDescent="0.3">
      <c r="A252">
        <v>1011</v>
      </c>
      <c r="B252" s="1">
        <v>44951</v>
      </c>
      <c r="C252" t="s">
        <v>38</v>
      </c>
      <c r="D252" t="s">
        <v>15</v>
      </c>
      <c r="E252">
        <v>2896.48</v>
      </c>
      <c r="F252">
        <v>22</v>
      </c>
      <c r="G252" t="s">
        <v>35</v>
      </c>
      <c r="H252">
        <v>1324.52</v>
      </c>
      <c r="I252">
        <v>1510.3</v>
      </c>
      <c r="J252" t="s">
        <v>17</v>
      </c>
      <c r="K252">
        <v>0.15</v>
      </c>
      <c r="L252" t="s">
        <v>18</v>
      </c>
      <c r="M252" t="s">
        <v>22</v>
      </c>
      <c r="N252" t="s">
        <v>40</v>
      </c>
      <c r="O252" t="str">
        <f t="shared" si="15"/>
        <v>Jan</v>
      </c>
      <c r="P252" t="str">
        <f t="shared" si="16"/>
        <v>Wednesday</v>
      </c>
      <c r="Q252">
        <f t="shared" si="17"/>
        <v>24768.523999999998</v>
      </c>
      <c r="R252">
        <f t="shared" si="18"/>
        <v>4087.1599999999994</v>
      </c>
      <c r="S252">
        <f t="shared" si="19"/>
        <v>3474.0859999999993</v>
      </c>
    </row>
    <row r="253" spans="1:19" x14ac:dyDescent="0.3">
      <c r="A253">
        <v>1016</v>
      </c>
      <c r="B253" s="1">
        <v>45016</v>
      </c>
      <c r="C253" t="s">
        <v>38</v>
      </c>
      <c r="D253" t="s">
        <v>34</v>
      </c>
      <c r="E253">
        <v>4309.76</v>
      </c>
      <c r="F253">
        <v>38</v>
      </c>
      <c r="G253" t="s">
        <v>35</v>
      </c>
      <c r="H253">
        <v>3883.38</v>
      </c>
      <c r="I253">
        <v>4152.72</v>
      </c>
      <c r="J253" t="s">
        <v>17</v>
      </c>
      <c r="K253">
        <v>0.26</v>
      </c>
      <c r="L253" t="s">
        <v>18</v>
      </c>
      <c r="M253" t="s">
        <v>19</v>
      </c>
      <c r="N253" t="s">
        <v>48</v>
      </c>
      <c r="O253" t="str">
        <f t="shared" si="15"/>
        <v>Mar</v>
      </c>
      <c r="P253" t="str">
        <f t="shared" si="16"/>
        <v>Friday</v>
      </c>
      <c r="Q253">
        <f t="shared" si="17"/>
        <v>109200.6456</v>
      </c>
      <c r="R253">
        <f t="shared" si="18"/>
        <v>10234.920000000006</v>
      </c>
      <c r="S253">
        <f t="shared" si="19"/>
        <v>7573.8408000000036</v>
      </c>
    </row>
    <row r="254" spans="1:19" x14ac:dyDescent="0.3">
      <c r="A254">
        <v>1097</v>
      </c>
      <c r="B254" s="1">
        <v>45001</v>
      </c>
      <c r="C254" t="s">
        <v>24</v>
      </c>
      <c r="D254" t="s">
        <v>25</v>
      </c>
      <c r="E254">
        <v>471.95</v>
      </c>
      <c r="F254">
        <v>35</v>
      </c>
      <c r="G254" t="s">
        <v>26</v>
      </c>
      <c r="H254">
        <v>1958.49</v>
      </c>
      <c r="I254">
        <v>2254.84</v>
      </c>
      <c r="J254" t="s">
        <v>30</v>
      </c>
      <c r="K254">
        <v>0.16</v>
      </c>
      <c r="L254" t="s">
        <v>31</v>
      </c>
      <c r="M254" t="s">
        <v>19</v>
      </c>
      <c r="N254" t="s">
        <v>28</v>
      </c>
      <c r="O254" t="str">
        <f t="shared" si="15"/>
        <v>Mar</v>
      </c>
      <c r="P254" t="str">
        <f t="shared" si="16"/>
        <v>Thursday</v>
      </c>
      <c r="Q254">
        <f t="shared" si="17"/>
        <v>57579.605999999992</v>
      </c>
      <c r="R254">
        <f t="shared" si="18"/>
        <v>10372.250000000005</v>
      </c>
      <c r="S254">
        <f t="shared" si="19"/>
        <v>8712.6900000000041</v>
      </c>
    </row>
    <row r="255" spans="1:19" x14ac:dyDescent="0.3">
      <c r="A255">
        <v>1073</v>
      </c>
      <c r="B255" s="1">
        <v>45220</v>
      </c>
      <c r="C255" t="s">
        <v>42</v>
      </c>
      <c r="D255" t="s">
        <v>21</v>
      </c>
      <c r="E255">
        <v>1365.88</v>
      </c>
      <c r="F255">
        <v>45</v>
      </c>
      <c r="G255" t="s">
        <v>16</v>
      </c>
      <c r="H255">
        <v>2558.09</v>
      </c>
      <c r="I255">
        <v>2958.55</v>
      </c>
      <c r="J255" t="s">
        <v>30</v>
      </c>
      <c r="K255">
        <v>0.08</v>
      </c>
      <c r="L255" t="s">
        <v>18</v>
      </c>
      <c r="M255" t="s">
        <v>19</v>
      </c>
      <c r="N255" t="s">
        <v>51</v>
      </c>
      <c r="O255" t="str">
        <f t="shared" si="15"/>
        <v>Oct</v>
      </c>
      <c r="P255" t="str">
        <f t="shared" si="16"/>
        <v>Saturday</v>
      </c>
      <c r="Q255">
        <f t="shared" si="17"/>
        <v>105904.92600000001</v>
      </c>
      <c r="R255">
        <f t="shared" si="18"/>
        <v>18020.7</v>
      </c>
      <c r="S255">
        <f t="shared" si="19"/>
        <v>16579.044000000002</v>
      </c>
    </row>
    <row r="256" spans="1:19" x14ac:dyDescent="0.3">
      <c r="A256">
        <v>1059</v>
      </c>
      <c r="B256" s="1">
        <v>45136</v>
      </c>
      <c r="C256" t="s">
        <v>14</v>
      </c>
      <c r="D256" t="s">
        <v>25</v>
      </c>
      <c r="E256">
        <v>7678.91</v>
      </c>
      <c r="F256">
        <v>16</v>
      </c>
      <c r="G256" t="s">
        <v>16</v>
      </c>
      <c r="H256">
        <v>4287.21</v>
      </c>
      <c r="I256">
        <v>4464.28</v>
      </c>
      <c r="J256" t="s">
        <v>17</v>
      </c>
      <c r="K256">
        <v>0.2</v>
      </c>
      <c r="L256" t="s">
        <v>31</v>
      </c>
      <c r="M256" t="s">
        <v>22</v>
      </c>
      <c r="N256" t="s">
        <v>32</v>
      </c>
      <c r="O256" t="str">
        <f t="shared" si="15"/>
        <v>Jul</v>
      </c>
      <c r="P256" t="str">
        <f t="shared" si="16"/>
        <v>Saturday</v>
      </c>
      <c r="Q256">
        <f t="shared" si="17"/>
        <v>54876.288</v>
      </c>
      <c r="R256">
        <f t="shared" si="18"/>
        <v>2833.1199999999953</v>
      </c>
      <c r="S256">
        <f t="shared" si="19"/>
        <v>2266.4959999999965</v>
      </c>
    </row>
    <row r="257" spans="1:19" x14ac:dyDescent="0.3">
      <c r="A257">
        <v>1070</v>
      </c>
      <c r="B257" s="1">
        <v>45273</v>
      </c>
      <c r="C257" t="s">
        <v>42</v>
      </c>
      <c r="D257" t="s">
        <v>21</v>
      </c>
      <c r="E257">
        <v>100.12</v>
      </c>
      <c r="F257">
        <v>8</v>
      </c>
      <c r="G257" t="s">
        <v>29</v>
      </c>
      <c r="H257">
        <v>3762.27</v>
      </c>
      <c r="I257">
        <v>4166.95</v>
      </c>
      <c r="J257" t="s">
        <v>17</v>
      </c>
      <c r="K257">
        <v>0.16</v>
      </c>
      <c r="L257" t="s">
        <v>27</v>
      </c>
      <c r="M257" t="s">
        <v>19</v>
      </c>
      <c r="N257" t="s">
        <v>51</v>
      </c>
      <c r="O257" t="str">
        <f t="shared" si="15"/>
        <v>Dec</v>
      </c>
      <c r="P257" t="str">
        <f t="shared" si="16"/>
        <v>Wednesday</v>
      </c>
      <c r="Q257">
        <f t="shared" si="17"/>
        <v>25282.454399999999</v>
      </c>
      <c r="R257">
        <f t="shared" si="18"/>
        <v>3237.4399999999987</v>
      </c>
      <c r="S257">
        <f t="shared" si="19"/>
        <v>2719.449599999999</v>
      </c>
    </row>
    <row r="258" spans="1:19"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c r="O258" t="str">
        <f t="shared" si="15"/>
        <v>Jan</v>
      </c>
      <c r="P258" t="str">
        <f t="shared" si="16"/>
        <v>Tuesday</v>
      </c>
      <c r="Q258">
        <f t="shared" si="17"/>
        <v>176384.27429999999</v>
      </c>
      <c r="R258">
        <f t="shared" si="18"/>
        <v>8268.2400000000034</v>
      </c>
      <c r="S258">
        <f t="shared" si="19"/>
        <v>7689.4632000000029</v>
      </c>
    </row>
    <row r="259" spans="1:19" x14ac:dyDescent="0.3">
      <c r="A259">
        <v>1093</v>
      </c>
      <c r="B259" s="1">
        <v>45054</v>
      </c>
      <c r="C259" t="s">
        <v>14</v>
      </c>
      <c r="D259" t="s">
        <v>34</v>
      </c>
      <c r="E259">
        <v>5272.85</v>
      </c>
      <c r="F259">
        <v>17</v>
      </c>
      <c r="G259" t="s">
        <v>16</v>
      </c>
      <c r="H259">
        <v>727.38</v>
      </c>
      <c r="I259">
        <v>764.54</v>
      </c>
      <c r="J259" t="s">
        <v>17</v>
      </c>
      <c r="K259">
        <v>0.17</v>
      </c>
      <c r="L259" t="s">
        <v>31</v>
      </c>
      <c r="M259" t="s">
        <v>22</v>
      </c>
      <c r="N259" t="s">
        <v>46</v>
      </c>
      <c r="O259" t="str">
        <f t="shared" ref="O259:O322" si="20">TEXT(B259,"mmm")</f>
        <v>May</v>
      </c>
      <c r="P259" t="str">
        <f t="shared" ref="P259:P322" si="21">TEXT(B259,"dddd")</f>
        <v>Monday</v>
      </c>
      <c r="Q259">
        <f t="shared" ref="Q259:Q322" si="22">(F259*H259)*(1-K259)</f>
        <v>10263.331799999998</v>
      </c>
      <c r="R259">
        <f t="shared" ref="R259:R322" si="23">(I259-H259)*F259</f>
        <v>631.71999999999946</v>
      </c>
      <c r="S259">
        <f t="shared" ref="S259:S322" si="24">((I259-H259)*F259)*(1-K259)</f>
        <v>524.32759999999951</v>
      </c>
    </row>
    <row r="260" spans="1:19" x14ac:dyDescent="0.3">
      <c r="A260">
        <v>1003</v>
      </c>
      <c r="B260" s="1">
        <v>45290</v>
      </c>
      <c r="C260" t="s">
        <v>42</v>
      </c>
      <c r="D260" t="s">
        <v>34</v>
      </c>
      <c r="E260">
        <v>640.88</v>
      </c>
      <c r="F260">
        <v>17</v>
      </c>
      <c r="G260" t="s">
        <v>16</v>
      </c>
      <c r="H260">
        <v>395.11</v>
      </c>
      <c r="I260">
        <v>676.66</v>
      </c>
      <c r="J260" t="s">
        <v>17</v>
      </c>
      <c r="K260">
        <v>0.25</v>
      </c>
      <c r="L260" t="s">
        <v>18</v>
      </c>
      <c r="M260" t="s">
        <v>22</v>
      </c>
      <c r="N260" t="s">
        <v>52</v>
      </c>
      <c r="O260" t="str">
        <f t="shared" si="20"/>
        <v>Dec</v>
      </c>
      <c r="P260" t="str">
        <f t="shared" si="21"/>
        <v>Saturday</v>
      </c>
      <c r="Q260">
        <f t="shared" si="22"/>
        <v>5037.6525000000001</v>
      </c>
      <c r="R260">
        <f t="shared" si="23"/>
        <v>4786.3499999999995</v>
      </c>
      <c r="S260">
        <f t="shared" si="24"/>
        <v>3589.7624999999998</v>
      </c>
    </row>
    <row r="261" spans="1:19"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c r="O261" t="str">
        <f t="shared" si="20"/>
        <v>Sep</v>
      </c>
      <c r="P261" t="str">
        <f t="shared" si="21"/>
        <v>Friday</v>
      </c>
      <c r="Q261">
        <f t="shared" si="22"/>
        <v>115118.289</v>
      </c>
      <c r="R261">
        <f t="shared" si="23"/>
        <v>7749.8199999999924</v>
      </c>
      <c r="S261">
        <f t="shared" si="24"/>
        <v>7672.3217999999924</v>
      </c>
    </row>
    <row r="262" spans="1:19"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c r="O262" t="str">
        <f t="shared" si="20"/>
        <v>Jun</v>
      </c>
      <c r="P262" t="str">
        <f t="shared" si="21"/>
        <v>Wednesday</v>
      </c>
      <c r="Q262">
        <f t="shared" si="22"/>
        <v>20741.7834</v>
      </c>
      <c r="R262">
        <f t="shared" si="23"/>
        <v>6082.9599999999982</v>
      </c>
      <c r="S262">
        <f t="shared" si="24"/>
        <v>4927.1975999999986</v>
      </c>
    </row>
    <row r="263" spans="1:19" x14ac:dyDescent="0.3">
      <c r="A263">
        <v>1036</v>
      </c>
      <c r="B263" s="1">
        <v>45108</v>
      </c>
      <c r="C263" t="s">
        <v>42</v>
      </c>
      <c r="D263" t="s">
        <v>21</v>
      </c>
      <c r="E263">
        <v>3111.57</v>
      </c>
      <c r="F263">
        <v>17</v>
      </c>
      <c r="G263" t="s">
        <v>16</v>
      </c>
      <c r="H263">
        <v>1475</v>
      </c>
      <c r="I263">
        <v>1840.77</v>
      </c>
      <c r="J263" t="s">
        <v>17</v>
      </c>
      <c r="K263">
        <v>0.1</v>
      </c>
      <c r="L263" t="s">
        <v>31</v>
      </c>
      <c r="M263" t="s">
        <v>19</v>
      </c>
      <c r="N263" t="s">
        <v>51</v>
      </c>
      <c r="O263" t="str">
        <f t="shared" si="20"/>
        <v>Jul</v>
      </c>
      <c r="P263" t="str">
        <f t="shared" si="21"/>
        <v>Saturday</v>
      </c>
      <c r="Q263">
        <f t="shared" si="22"/>
        <v>22567.5</v>
      </c>
      <c r="R263">
        <f t="shared" si="23"/>
        <v>6218.09</v>
      </c>
      <c r="S263">
        <f t="shared" si="24"/>
        <v>5596.2809999999999</v>
      </c>
    </row>
    <row r="264" spans="1:19" x14ac:dyDescent="0.3">
      <c r="A264">
        <v>1019</v>
      </c>
      <c r="B264" s="1">
        <v>45078</v>
      </c>
      <c r="C264" t="s">
        <v>14</v>
      </c>
      <c r="D264" t="s">
        <v>34</v>
      </c>
      <c r="E264">
        <v>3109.03</v>
      </c>
      <c r="F264">
        <v>38</v>
      </c>
      <c r="G264" t="s">
        <v>29</v>
      </c>
      <c r="H264">
        <v>3637.25</v>
      </c>
      <c r="I264">
        <v>4096.96</v>
      </c>
      <c r="J264" t="s">
        <v>17</v>
      </c>
      <c r="K264">
        <v>0.09</v>
      </c>
      <c r="L264" t="s">
        <v>27</v>
      </c>
      <c r="M264" t="s">
        <v>19</v>
      </c>
      <c r="N264" t="s">
        <v>46</v>
      </c>
      <c r="O264" t="str">
        <f t="shared" si="20"/>
        <v>Jun</v>
      </c>
      <c r="P264" t="str">
        <f t="shared" si="21"/>
        <v>Thursday</v>
      </c>
      <c r="Q264">
        <f t="shared" si="22"/>
        <v>125776.10500000001</v>
      </c>
      <c r="R264">
        <f t="shared" si="23"/>
        <v>17468.980000000003</v>
      </c>
      <c r="S264">
        <f t="shared" si="24"/>
        <v>15896.771800000004</v>
      </c>
    </row>
    <row r="265" spans="1:19"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c r="O265" t="str">
        <f t="shared" si="20"/>
        <v>Jan</v>
      </c>
      <c r="P265" t="str">
        <f t="shared" si="21"/>
        <v>Wednesday</v>
      </c>
      <c r="Q265">
        <f t="shared" si="22"/>
        <v>62686.289599999996</v>
      </c>
      <c r="R265">
        <f t="shared" si="23"/>
        <v>7736.5300000000025</v>
      </c>
      <c r="S265">
        <f t="shared" si="24"/>
        <v>6808.1464000000024</v>
      </c>
    </row>
    <row r="266" spans="1:19" x14ac:dyDescent="0.3">
      <c r="A266">
        <v>1067</v>
      </c>
      <c r="B266" s="1">
        <v>45106</v>
      </c>
      <c r="C266" t="s">
        <v>38</v>
      </c>
      <c r="D266" t="s">
        <v>25</v>
      </c>
      <c r="E266">
        <v>114.59</v>
      </c>
      <c r="F266">
        <v>48</v>
      </c>
      <c r="G266" t="s">
        <v>26</v>
      </c>
      <c r="H266">
        <v>4319.32</v>
      </c>
      <c r="I266">
        <v>4625.5599999999904</v>
      </c>
      <c r="J266" t="s">
        <v>17</v>
      </c>
      <c r="K266">
        <v>0.1</v>
      </c>
      <c r="L266" t="s">
        <v>27</v>
      </c>
      <c r="M266" t="s">
        <v>19</v>
      </c>
      <c r="N266" t="s">
        <v>39</v>
      </c>
      <c r="O266" t="str">
        <f t="shared" si="20"/>
        <v>Jun</v>
      </c>
      <c r="P266" t="str">
        <f t="shared" si="21"/>
        <v>Thursday</v>
      </c>
      <c r="Q266">
        <f t="shared" si="22"/>
        <v>186594.62399999998</v>
      </c>
      <c r="R266">
        <f t="shared" si="23"/>
        <v>14699.519999999553</v>
      </c>
      <c r="S266">
        <f t="shared" si="24"/>
        <v>13229.567999999597</v>
      </c>
    </row>
    <row r="267" spans="1:19" x14ac:dyDescent="0.3">
      <c r="A267">
        <v>1019</v>
      </c>
      <c r="B267" s="1">
        <v>45124</v>
      </c>
      <c r="C267" t="s">
        <v>24</v>
      </c>
      <c r="D267" t="s">
        <v>25</v>
      </c>
      <c r="E267">
        <v>7320.51</v>
      </c>
      <c r="F267">
        <v>14</v>
      </c>
      <c r="G267" t="s">
        <v>29</v>
      </c>
      <c r="H267">
        <v>1614.19</v>
      </c>
      <c r="I267">
        <v>1882.79</v>
      </c>
      <c r="J267" t="s">
        <v>30</v>
      </c>
      <c r="K267">
        <v>0.25</v>
      </c>
      <c r="L267" t="s">
        <v>31</v>
      </c>
      <c r="M267" t="s">
        <v>22</v>
      </c>
      <c r="N267" t="s">
        <v>28</v>
      </c>
      <c r="O267" t="str">
        <f t="shared" si="20"/>
        <v>Jul</v>
      </c>
      <c r="P267" t="str">
        <f t="shared" si="21"/>
        <v>Monday</v>
      </c>
      <c r="Q267">
        <f t="shared" si="22"/>
        <v>16948.994999999999</v>
      </c>
      <c r="R267">
        <f t="shared" si="23"/>
        <v>3760.3999999999987</v>
      </c>
      <c r="S267">
        <f t="shared" si="24"/>
        <v>2820.2999999999993</v>
      </c>
    </row>
    <row r="268" spans="1:19"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c r="O268" t="str">
        <f t="shared" si="20"/>
        <v>Dec</v>
      </c>
      <c r="P268" t="str">
        <f t="shared" si="21"/>
        <v>Sunday</v>
      </c>
      <c r="Q268">
        <f t="shared" si="22"/>
        <v>176713.83000000002</v>
      </c>
      <c r="R268">
        <f t="shared" si="23"/>
        <v>12741.749999999574</v>
      </c>
      <c r="S268">
        <f t="shared" si="24"/>
        <v>11722.409999999609</v>
      </c>
    </row>
    <row r="269" spans="1:19" x14ac:dyDescent="0.3">
      <c r="A269">
        <v>1096</v>
      </c>
      <c r="B269" s="1">
        <v>45087</v>
      </c>
      <c r="C269" t="s">
        <v>33</v>
      </c>
      <c r="D269" t="s">
        <v>25</v>
      </c>
      <c r="E269">
        <v>2320.5100000000002</v>
      </c>
      <c r="F269">
        <v>6</v>
      </c>
      <c r="G269" t="s">
        <v>16</v>
      </c>
      <c r="H269">
        <v>252.62</v>
      </c>
      <c r="I269">
        <v>742</v>
      </c>
      <c r="J269" t="s">
        <v>30</v>
      </c>
      <c r="K269">
        <v>0.22</v>
      </c>
      <c r="L269" t="s">
        <v>31</v>
      </c>
      <c r="M269" t="s">
        <v>22</v>
      </c>
      <c r="N269" t="s">
        <v>44</v>
      </c>
      <c r="O269" t="str">
        <f t="shared" si="20"/>
        <v>Jun</v>
      </c>
      <c r="P269" t="str">
        <f t="shared" si="21"/>
        <v>Saturday</v>
      </c>
      <c r="Q269">
        <f t="shared" si="22"/>
        <v>1182.2616</v>
      </c>
      <c r="R269">
        <f t="shared" si="23"/>
        <v>2936.2799999999997</v>
      </c>
      <c r="S269">
        <f t="shared" si="24"/>
        <v>2290.2983999999997</v>
      </c>
    </row>
    <row r="270" spans="1:19" x14ac:dyDescent="0.3">
      <c r="A270">
        <v>1071</v>
      </c>
      <c r="B270" s="1">
        <v>45103</v>
      </c>
      <c r="C270" t="s">
        <v>24</v>
      </c>
      <c r="D270" t="s">
        <v>15</v>
      </c>
      <c r="E270">
        <v>6664.17</v>
      </c>
      <c r="F270">
        <v>35</v>
      </c>
      <c r="G270" t="s">
        <v>29</v>
      </c>
      <c r="H270">
        <v>295.82</v>
      </c>
      <c r="I270">
        <v>684.67</v>
      </c>
      <c r="J270" t="s">
        <v>30</v>
      </c>
      <c r="K270">
        <v>0.03</v>
      </c>
      <c r="L270" t="s">
        <v>31</v>
      </c>
      <c r="M270" t="s">
        <v>19</v>
      </c>
      <c r="N270" t="s">
        <v>45</v>
      </c>
      <c r="O270" t="str">
        <f t="shared" si="20"/>
        <v>Jun</v>
      </c>
      <c r="P270" t="str">
        <f t="shared" si="21"/>
        <v>Monday</v>
      </c>
      <c r="Q270">
        <f t="shared" si="22"/>
        <v>10043.088999999998</v>
      </c>
      <c r="R270">
        <f t="shared" si="23"/>
        <v>13609.749999999998</v>
      </c>
      <c r="S270">
        <f t="shared" si="24"/>
        <v>13201.457499999999</v>
      </c>
    </row>
    <row r="271" spans="1:19"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c r="O271" t="str">
        <f t="shared" si="20"/>
        <v>Oct</v>
      </c>
      <c r="P271" t="str">
        <f t="shared" si="21"/>
        <v>Thursday</v>
      </c>
      <c r="Q271">
        <f t="shared" si="22"/>
        <v>102435.47719999999</v>
      </c>
      <c r="R271">
        <f t="shared" si="23"/>
        <v>2855.2199999999866</v>
      </c>
      <c r="S271">
        <f t="shared" si="24"/>
        <v>2027.2061999999903</v>
      </c>
    </row>
    <row r="272" spans="1:19" x14ac:dyDescent="0.3">
      <c r="A272">
        <v>1033</v>
      </c>
      <c r="B272" s="1">
        <v>44989</v>
      </c>
      <c r="C272" t="s">
        <v>14</v>
      </c>
      <c r="D272" t="s">
        <v>21</v>
      </c>
      <c r="E272">
        <v>8499.41</v>
      </c>
      <c r="F272">
        <v>14</v>
      </c>
      <c r="G272" t="s">
        <v>29</v>
      </c>
      <c r="H272">
        <v>362.38</v>
      </c>
      <c r="I272">
        <v>753.81</v>
      </c>
      <c r="J272" t="s">
        <v>17</v>
      </c>
      <c r="K272">
        <v>0.19</v>
      </c>
      <c r="L272" t="s">
        <v>18</v>
      </c>
      <c r="M272" t="s">
        <v>22</v>
      </c>
      <c r="N272" t="s">
        <v>23</v>
      </c>
      <c r="O272" t="str">
        <f t="shared" si="20"/>
        <v>Mar</v>
      </c>
      <c r="P272" t="str">
        <f t="shared" si="21"/>
        <v>Saturday</v>
      </c>
      <c r="Q272">
        <f t="shared" si="22"/>
        <v>4109.3891999999996</v>
      </c>
      <c r="R272">
        <f t="shared" si="23"/>
        <v>5480.0199999999995</v>
      </c>
      <c r="S272">
        <f t="shared" si="24"/>
        <v>4438.8162000000002</v>
      </c>
    </row>
    <row r="273" spans="1:19"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c r="O273" t="str">
        <f t="shared" si="20"/>
        <v>May</v>
      </c>
      <c r="P273" t="str">
        <f t="shared" si="21"/>
        <v>Tuesday</v>
      </c>
      <c r="Q273">
        <f t="shared" si="22"/>
        <v>61517.726599999995</v>
      </c>
      <c r="R273">
        <f t="shared" si="23"/>
        <v>4397.3199999995377</v>
      </c>
      <c r="S273">
        <f t="shared" si="24"/>
        <v>3473.8827999996352</v>
      </c>
    </row>
    <row r="274" spans="1:19"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c r="O274" t="str">
        <f t="shared" si="20"/>
        <v>Jun</v>
      </c>
      <c r="P274" t="str">
        <f t="shared" si="21"/>
        <v>Saturday</v>
      </c>
      <c r="Q274">
        <f t="shared" si="22"/>
        <v>24607.4192</v>
      </c>
      <c r="R274">
        <f t="shared" si="23"/>
        <v>1833.5999999999221</v>
      </c>
      <c r="S274">
        <f t="shared" si="24"/>
        <v>1668.5759999999293</v>
      </c>
    </row>
    <row r="275" spans="1:19" x14ac:dyDescent="0.3">
      <c r="A275">
        <v>1082</v>
      </c>
      <c r="B275" s="1">
        <v>45082</v>
      </c>
      <c r="C275" t="s">
        <v>33</v>
      </c>
      <c r="D275" t="s">
        <v>34</v>
      </c>
      <c r="E275">
        <v>3320.42</v>
      </c>
      <c r="F275">
        <v>15</v>
      </c>
      <c r="G275" t="s">
        <v>29</v>
      </c>
      <c r="H275">
        <v>1719.47</v>
      </c>
      <c r="I275">
        <v>1832.6</v>
      </c>
      <c r="J275" t="s">
        <v>17</v>
      </c>
      <c r="K275">
        <v>0.12</v>
      </c>
      <c r="L275" t="s">
        <v>31</v>
      </c>
      <c r="M275" t="s">
        <v>19</v>
      </c>
      <c r="N275" t="s">
        <v>36</v>
      </c>
      <c r="O275" t="str">
        <f t="shared" si="20"/>
        <v>Jun</v>
      </c>
      <c r="P275" t="str">
        <f t="shared" si="21"/>
        <v>Monday</v>
      </c>
      <c r="Q275">
        <f t="shared" si="22"/>
        <v>22697.004000000001</v>
      </c>
      <c r="R275">
        <f t="shared" si="23"/>
        <v>1696.9499999999982</v>
      </c>
      <c r="S275">
        <f t="shared" si="24"/>
        <v>1493.3159999999984</v>
      </c>
    </row>
    <row r="276" spans="1:19"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c r="O276" t="str">
        <f t="shared" si="20"/>
        <v>Feb</v>
      </c>
      <c r="P276" t="str">
        <f t="shared" si="21"/>
        <v>Saturday</v>
      </c>
      <c r="Q276">
        <f t="shared" si="22"/>
        <v>23578.7922</v>
      </c>
      <c r="R276">
        <f t="shared" si="23"/>
        <v>9393.3000000000029</v>
      </c>
      <c r="S276">
        <f t="shared" si="24"/>
        <v>8735.7690000000021</v>
      </c>
    </row>
    <row r="277" spans="1:19"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c r="O277" t="str">
        <f t="shared" si="20"/>
        <v>Dec</v>
      </c>
      <c r="P277" t="str">
        <f t="shared" si="21"/>
        <v>Sunday</v>
      </c>
      <c r="Q277">
        <f t="shared" si="22"/>
        <v>13503.5784</v>
      </c>
      <c r="R277">
        <f t="shared" si="23"/>
        <v>5718.4399999999987</v>
      </c>
      <c r="S277">
        <f t="shared" si="24"/>
        <v>4117.2767999999987</v>
      </c>
    </row>
    <row r="278" spans="1:19" x14ac:dyDescent="0.3">
      <c r="A278">
        <v>1092</v>
      </c>
      <c r="B278" s="1">
        <v>45010</v>
      </c>
      <c r="C278" t="s">
        <v>42</v>
      </c>
      <c r="D278" t="s">
        <v>21</v>
      </c>
      <c r="E278">
        <v>1897.98</v>
      </c>
      <c r="F278">
        <v>49</v>
      </c>
      <c r="G278" t="s">
        <v>16</v>
      </c>
      <c r="H278">
        <v>2315</v>
      </c>
      <c r="I278">
        <v>2467.2800000000002</v>
      </c>
      <c r="J278" t="s">
        <v>30</v>
      </c>
      <c r="K278">
        <v>0.15</v>
      </c>
      <c r="L278" t="s">
        <v>27</v>
      </c>
      <c r="M278" t="s">
        <v>22</v>
      </c>
      <c r="N278" t="s">
        <v>51</v>
      </c>
      <c r="O278" t="str">
        <f t="shared" si="20"/>
        <v>Mar</v>
      </c>
      <c r="P278" t="str">
        <f t="shared" si="21"/>
        <v>Saturday</v>
      </c>
      <c r="Q278">
        <f t="shared" si="22"/>
        <v>96419.75</v>
      </c>
      <c r="R278">
        <f t="shared" si="23"/>
        <v>7461.7200000000103</v>
      </c>
      <c r="S278">
        <f t="shared" si="24"/>
        <v>6342.4620000000086</v>
      </c>
    </row>
    <row r="279" spans="1:19" x14ac:dyDescent="0.3">
      <c r="A279">
        <v>1057</v>
      </c>
      <c r="B279" s="1">
        <v>45287</v>
      </c>
      <c r="C279" t="s">
        <v>14</v>
      </c>
      <c r="D279" t="s">
        <v>25</v>
      </c>
      <c r="E279">
        <v>3772.32</v>
      </c>
      <c r="F279">
        <v>31</v>
      </c>
      <c r="G279" t="s">
        <v>16</v>
      </c>
      <c r="H279">
        <v>2403.16</v>
      </c>
      <c r="I279">
        <v>2453.35</v>
      </c>
      <c r="J279" t="s">
        <v>17</v>
      </c>
      <c r="K279">
        <v>0.19</v>
      </c>
      <c r="L279" t="s">
        <v>31</v>
      </c>
      <c r="M279" t="s">
        <v>19</v>
      </c>
      <c r="N279" t="s">
        <v>32</v>
      </c>
      <c r="O279" t="str">
        <f t="shared" si="20"/>
        <v>Dec</v>
      </c>
      <c r="P279" t="str">
        <f t="shared" si="21"/>
        <v>Wednesday</v>
      </c>
      <c r="Q279">
        <f t="shared" si="22"/>
        <v>60343.347600000001</v>
      </c>
      <c r="R279">
        <f t="shared" si="23"/>
        <v>1555.8900000000017</v>
      </c>
      <c r="S279">
        <f t="shared" si="24"/>
        <v>1260.2709000000013</v>
      </c>
    </row>
    <row r="280" spans="1:19"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c r="O280" t="str">
        <f t="shared" si="20"/>
        <v>Jun</v>
      </c>
      <c r="P280" t="str">
        <f t="shared" si="21"/>
        <v>Monday</v>
      </c>
      <c r="Q280">
        <f t="shared" si="22"/>
        <v>107175.705</v>
      </c>
      <c r="R280">
        <f t="shared" si="23"/>
        <v>5469.0999999996575</v>
      </c>
      <c r="S280">
        <f t="shared" si="24"/>
        <v>4265.8979999997327</v>
      </c>
    </row>
    <row r="281" spans="1:19" x14ac:dyDescent="0.3">
      <c r="A281">
        <v>1050</v>
      </c>
      <c r="B281" s="1">
        <v>45074</v>
      </c>
      <c r="C281" t="s">
        <v>42</v>
      </c>
      <c r="D281" t="s">
        <v>15</v>
      </c>
      <c r="E281">
        <v>8086.27</v>
      </c>
      <c r="F281">
        <v>6</v>
      </c>
      <c r="G281" t="s">
        <v>16</v>
      </c>
      <c r="H281">
        <v>3763.26</v>
      </c>
      <c r="I281">
        <v>4102.72</v>
      </c>
      <c r="J281" t="s">
        <v>30</v>
      </c>
      <c r="K281">
        <v>0.11</v>
      </c>
      <c r="L281" t="s">
        <v>31</v>
      </c>
      <c r="M281" t="s">
        <v>22</v>
      </c>
      <c r="N281" t="s">
        <v>49</v>
      </c>
      <c r="O281" t="str">
        <f t="shared" si="20"/>
        <v>May</v>
      </c>
      <c r="P281" t="str">
        <f t="shared" si="21"/>
        <v>Sunday</v>
      </c>
      <c r="Q281">
        <f t="shared" si="22"/>
        <v>20095.808400000002</v>
      </c>
      <c r="R281">
        <f t="shared" si="23"/>
        <v>2036.7600000000002</v>
      </c>
      <c r="S281">
        <f t="shared" si="24"/>
        <v>1812.7164000000002</v>
      </c>
    </row>
    <row r="282" spans="1:19" x14ac:dyDescent="0.3">
      <c r="A282">
        <v>1023</v>
      </c>
      <c r="B282" s="1">
        <v>45044</v>
      </c>
      <c r="C282" t="s">
        <v>33</v>
      </c>
      <c r="D282" t="s">
        <v>15</v>
      </c>
      <c r="E282">
        <v>9850.1</v>
      </c>
      <c r="F282">
        <v>5</v>
      </c>
      <c r="G282" t="s">
        <v>35</v>
      </c>
      <c r="H282">
        <v>2311.25</v>
      </c>
      <c r="I282">
        <v>2482.34</v>
      </c>
      <c r="J282" t="s">
        <v>17</v>
      </c>
      <c r="K282">
        <v>0.22</v>
      </c>
      <c r="L282" t="s">
        <v>31</v>
      </c>
      <c r="M282" t="s">
        <v>22</v>
      </c>
      <c r="N282" t="s">
        <v>53</v>
      </c>
      <c r="O282" t="str">
        <f t="shared" si="20"/>
        <v>Apr</v>
      </c>
      <c r="P282" t="str">
        <f t="shared" si="21"/>
        <v>Friday</v>
      </c>
      <c r="Q282">
        <f t="shared" si="22"/>
        <v>9013.875</v>
      </c>
      <c r="R282">
        <f t="shared" si="23"/>
        <v>855.45000000000073</v>
      </c>
      <c r="S282">
        <f t="shared" si="24"/>
        <v>667.25100000000054</v>
      </c>
    </row>
    <row r="283" spans="1:19" x14ac:dyDescent="0.3">
      <c r="A283">
        <v>1031</v>
      </c>
      <c r="B283" s="1">
        <v>45268</v>
      </c>
      <c r="C283" t="s">
        <v>24</v>
      </c>
      <c r="D283" t="s">
        <v>15</v>
      </c>
      <c r="E283">
        <v>7567.06</v>
      </c>
      <c r="F283">
        <v>22</v>
      </c>
      <c r="G283" t="s">
        <v>26</v>
      </c>
      <c r="H283">
        <v>4236.05</v>
      </c>
      <c r="I283">
        <v>4382.32</v>
      </c>
      <c r="J283" t="s">
        <v>30</v>
      </c>
      <c r="K283">
        <v>0.2</v>
      </c>
      <c r="L283" t="s">
        <v>27</v>
      </c>
      <c r="M283" t="s">
        <v>19</v>
      </c>
      <c r="N283" t="s">
        <v>45</v>
      </c>
      <c r="O283" t="str">
        <f t="shared" si="20"/>
        <v>Dec</v>
      </c>
      <c r="P283" t="str">
        <f t="shared" si="21"/>
        <v>Friday</v>
      </c>
      <c r="Q283">
        <f t="shared" si="22"/>
        <v>74554.48000000001</v>
      </c>
      <c r="R283">
        <f t="shared" si="23"/>
        <v>3217.9399999999896</v>
      </c>
      <c r="S283">
        <f t="shared" si="24"/>
        <v>2574.3519999999917</v>
      </c>
    </row>
    <row r="284" spans="1:19" x14ac:dyDescent="0.3">
      <c r="A284">
        <v>1094</v>
      </c>
      <c r="B284" s="1">
        <v>44989</v>
      </c>
      <c r="C284" t="s">
        <v>14</v>
      </c>
      <c r="D284" t="s">
        <v>15</v>
      </c>
      <c r="E284">
        <v>3992.63</v>
      </c>
      <c r="F284">
        <v>49</v>
      </c>
      <c r="G284" t="s">
        <v>26</v>
      </c>
      <c r="H284">
        <v>615.47</v>
      </c>
      <c r="I284">
        <v>715.84</v>
      </c>
      <c r="J284" t="s">
        <v>17</v>
      </c>
      <c r="K284">
        <v>0.21</v>
      </c>
      <c r="L284" t="s">
        <v>31</v>
      </c>
      <c r="M284" t="s">
        <v>22</v>
      </c>
      <c r="N284" t="s">
        <v>20</v>
      </c>
      <c r="O284" t="str">
        <f t="shared" si="20"/>
        <v>Mar</v>
      </c>
      <c r="P284" t="str">
        <f t="shared" si="21"/>
        <v>Saturday</v>
      </c>
      <c r="Q284">
        <f t="shared" si="22"/>
        <v>23824.843700000001</v>
      </c>
      <c r="R284">
        <f t="shared" si="23"/>
        <v>4918.13</v>
      </c>
      <c r="S284">
        <f t="shared" si="24"/>
        <v>3885.3227000000002</v>
      </c>
    </row>
    <row r="285" spans="1:19" x14ac:dyDescent="0.3">
      <c r="A285">
        <v>1042</v>
      </c>
      <c r="B285" s="1">
        <v>45115</v>
      </c>
      <c r="C285" t="s">
        <v>42</v>
      </c>
      <c r="D285" t="s">
        <v>34</v>
      </c>
      <c r="E285">
        <v>5947.31</v>
      </c>
      <c r="F285">
        <v>23</v>
      </c>
      <c r="G285" t="s">
        <v>35</v>
      </c>
      <c r="H285">
        <v>1314</v>
      </c>
      <c r="I285">
        <v>1567.78</v>
      </c>
      <c r="J285" t="s">
        <v>17</v>
      </c>
      <c r="K285">
        <v>0.15</v>
      </c>
      <c r="L285" t="s">
        <v>31</v>
      </c>
      <c r="M285" t="s">
        <v>22</v>
      </c>
      <c r="N285" t="s">
        <v>52</v>
      </c>
      <c r="O285" t="str">
        <f t="shared" si="20"/>
        <v>Jul</v>
      </c>
      <c r="P285" t="str">
        <f t="shared" si="21"/>
        <v>Saturday</v>
      </c>
      <c r="Q285">
        <f t="shared" si="22"/>
        <v>25688.7</v>
      </c>
      <c r="R285">
        <f t="shared" si="23"/>
        <v>5836.94</v>
      </c>
      <c r="S285">
        <f t="shared" si="24"/>
        <v>4961.3989999999994</v>
      </c>
    </row>
    <row r="286" spans="1:19"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c r="O286" t="str">
        <f t="shared" si="20"/>
        <v>Dec</v>
      </c>
      <c r="P286" t="str">
        <f t="shared" si="21"/>
        <v>Tuesday</v>
      </c>
      <c r="Q286">
        <f t="shared" si="22"/>
        <v>92303.679999999993</v>
      </c>
      <c r="R286">
        <f t="shared" si="23"/>
        <v>3630.2500000000009</v>
      </c>
      <c r="S286">
        <f t="shared" si="24"/>
        <v>3230.922500000001</v>
      </c>
    </row>
    <row r="287" spans="1:19"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c r="O287" t="str">
        <f t="shared" si="20"/>
        <v>Feb</v>
      </c>
      <c r="P287" t="str">
        <f t="shared" si="21"/>
        <v>Saturday</v>
      </c>
      <c r="Q287">
        <f t="shared" si="22"/>
        <v>60744.23339999999</v>
      </c>
      <c r="R287">
        <f t="shared" si="23"/>
        <v>12518.800000000001</v>
      </c>
      <c r="S287">
        <f t="shared" si="24"/>
        <v>11642.484</v>
      </c>
    </row>
    <row r="288" spans="1:19"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c r="O288" t="str">
        <f t="shared" si="20"/>
        <v>Nov</v>
      </c>
      <c r="P288" t="str">
        <f t="shared" si="21"/>
        <v>Thursday</v>
      </c>
      <c r="Q288">
        <f t="shared" si="22"/>
        <v>95683.575000000012</v>
      </c>
      <c r="R288">
        <f t="shared" si="23"/>
        <v>1236.0399999999991</v>
      </c>
      <c r="S288">
        <f t="shared" si="24"/>
        <v>927.02999999999929</v>
      </c>
    </row>
    <row r="289" spans="1:19"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c r="O289" t="str">
        <f t="shared" si="20"/>
        <v>Sep</v>
      </c>
      <c r="P289" t="str">
        <f t="shared" si="21"/>
        <v>Thursday</v>
      </c>
      <c r="Q289">
        <f t="shared" si="22"/>
        <v>90875.392999999996</v>
      </c>
      <c r="R289">
        <f t="shared" si="23"/>
        <v>15762.860000000004</v>
      </c>
      <c r="S289">
        <f t="shared" si="24"/>
        <v>12925.545200000004</v>
      </c>
    </row>
    <row r="290" spans="1:19"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c r="O290" t="str">
        <f t="shared" si="20"/>
        <v>Aug</v>
      </c>
      <c r="P290" t="str">
        <f t="shared" si="21"/>
        <v>Saturday</v>
      </c>
      <c r="Q290">
        <f t="shared" si="22"/>
        <v>17269.848000000002</v>
      </c>
      <c r="R290">
        <f t="shared" si="23"/>
        <v>631.99999999999818</v>
      </c>
      <c r="S290">
        <f t="shared" si="24"/>
        <v>549.83999999999844</v>
      </c>
    </row>
    <row r="291" spans="1:19"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c r="O291" t="str">
        <f t="shared" si="20"/>
        <v>May</v>
      </c>
      <c r="P291" t="str">
        <f t="shared" si="21"/>
        <v>Sunday</v>
      </c>
      <c r="Q291">
        <f t="shared" si="22"/>
        <v>38215.382399999995</v>
      </c>
      <c r="R291">
        <f t="shared" si="23"/>
        <v>6493.5</v>
      </c>
      <c r="S291">
        <f t="shared" si="24"/>
        <v>4675.32</v>
      </c>
    </row>
    <row r="292" spans="1:19"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c r="O292" t="str">
        <f t="shared" si="20"/>
        <v>Aug</v>
      </c>
      <c r="P292" t="str">
        <f t="shared" si="21"/>
        <v>Thursday</v>
      </c>
      <c r="Q292">
        <f t="shared" si="22"/>
        <v>42639.696000000004</v>
      </c>
      <c r="R292">
        <f t="shared" si="23"/>
        <v>3003.5999999999967</v>
      </c>
      <c r="S292">
        <f t="shared" si="24"/>
        <v>2973.5639999999967</v>
      </c>
    </row>
    <row r="293" spans="1:19" x14ac:dyDescent="0.3">
      <c r="A293">
        <v>1048</v>
      </c>
      <c r="B293" s="1">
        <v>45137</v>
      </c>
      <c r="C293" t="s">
        <v>42</v>
      </c>
      <c r="D293" t="s">
        <v>15</v>
      </c>
      <c r="E293">
        <v>9527</v>
      </c>
      <c r="F293">
        <v>6</v>
      </c>
      <c r="G293" t="s">
        <v>16</v>
      </c>
      <c r="H293">
        <v>1945.27</v>
      </c>
      <c r="I293">
        <v>2309.4299999999998</v>
      </c>
      <c r="J293" t="s">
        <v>30</v>
      </c>
      <c r="K293">
        <v>0.26</v>
      </c>
      <c r="L293" t="s">
        <v>31</v>
      </c>
      <c r="M293" t="s">
        <v>19</v>
      </c>
      <c r="N293" t="s">
        <v>49</v>
      </c>
      <c r="O293" t="str">
        <f t="shared" si="20"/>
        <v>Jul</v>
      </c>
      <c r="P293" t="str">
        <f t="shared" si="21"/>
        <v>Sunday</v>
      </c>
      <c r="Q293">
        <f t="shared" si="22"/>
        <v>8636.9987999999994</v>
      </c>
      <c r="R293">
        <f t="shared" si="23"/>
        <v>2184.9599999999991</v>
      </c>
      <c r="S293">
        <f t="shared" si="24"/>
        <v>1616.8703999999993</v>
      </c>
    </row>
    <row r="294" spans="1:19" x14ac:dyDescent="0.3">
      <c r="A294">
        <v>1012</v>
      </c>
      <c r="B294" s="1">
        <v>45244</v>
      </c>
      <c r="C294" t="s">
        <v>38</v>
      </c>
      <c r="D294" t="s">
        <v>15</v>
      </c>
      <c r="E294">
        <v>519.98</v>
      </c>
      <c r="F294">
        <v>6</v>
      </c>
      <c r="G294" t="s">
        <v>29</v>
      </c>
      <c r="H294">
        <v>3609.42</v>
      </c>
      <c r="I294">
        <v>4082.62</v>
      </c>
      <c r="J294" t="s">
        <v>17</v>
      </c>
      <c r="K294">
        <v>0.3</v>
      </c>
      <c r="L294" t="s">
        <v>27</v>
      </c>
      <c r="M294" t="s">
        <v>22</v>
      </c>
      <c r="N294" t="s">
        <v>40</v>
      </c>
      <c r="O294" t="str">
        <f t="shared" si="20"/>
        <v>Nov</v>
      </c>
      <c r="P294" t="str">
        <f t="shared" si="21"/>
        <v>Tuesday</v>
      </c>
      <c r="Q294">
        <f t="shared" si="22"/>
        <v>15159.563999999998</v>
      </c>
      <c r="R294">
        <f t="shared" si="23"/>
        <v>2839.1999999999989</v>
      </c>
      <c r="S294">
        <f t="shared" si="24"/>
        <v>1987.4399999999991</v>
      </c>
    </row>
    <row r="295" spans="1:19" x14ac:dyDescent="0.3">
      <c r="A295">
        <v>1069</v>
      </c>
      <c r="B295" s="1">
        <v>44958</v>
      </c>
      <c r="C295" t="s">
        <v>38</v>
      </c>
      <c r="D295" t="s">
        <v>15</v>
      </c>
      <c r="E295">
        <v>2726.73</v>
      </c>
      <c r="F295">
        <v>18</v>
      </c>
      <c r="G295" t="s">
        <v>16</v>
      </c>
      <c r="H295">
        <v>2760.21</v>
      </c>
      <c r="I295">
        <v>3219.58</v>
      </c>
      <c r="J295" t="s">
        <v>30</v>
      </c>
      <c r="K295">
        <v>0.27</v>
      </c>
      <c r="L295" t="s">
        <v>27</v>
      </c>
      <c r="M295" t="s">
        <v>22</v>
      </c>
      <c r="N295" t="s">
        <v>40</v>
      </c>
      <c r="O295" t="str">
        <f t="shared" si="20"/>
        <v>Feb</v>
      </c>
      <c r="P295" t="str">
        <f t="shared" si="21"/>
        <v>Wednesday</v>
      </c>
      <c r="Q295">
        <f t="shared" si="22"/>
        <v>36269.159399999997</v>
      </c>
      <c r="R295">
        <f t="shared" si="23"/>
        <v>8268.659999999998</v>
      </c>
      <c r="S295">
        <f t="shared" si="24"/>
        <v>6036.1217999999981</v>
      </c>
    </row>
    <row r="296" spans="1:19" x14ac:dyDescent="0.3">
      <c r="A296">
        <v>1037</v>
      </c>
      <c r="B296" s="1">
        <v>45084</v>
      </c>
      <c r="C296" t="s">
        <v>42</v>
      </c>
      <c r="D296" t="s">
        <v>25</v>
      </c>
      <c r="E296">
        <v>6055.38</v>
      </c>
      <c r="F296">
        <v>4</v>
      </c>
      <c r="G296" t="s">
        <v>26</v>
      </c>
      <c r="H296">
        <v>4721.7</v>
      </c>
      <c r="I296">
        <v>5017.58</v>
      </c>
      <c r="J296" t="s">
        <v>30</v>
      </c>
      <c r="K296">
        <v>0.24</v>
      </c>
      <c r="L296" t="s">
        <v>18</v>
      </c>
      <c r="M296" t="s">
        <v>22</v>
      </c>
      <c r="N296" t="s">
        <v>43</v>
      </c>
      <c r="O296" t="str">
        <f t="shared" si="20"/>
        <v>Jun</v>
      </c>
      <c r="P296" t="str">
        <f t="shared" si="21"/>
        <v>Wednesday</v>
      </c>
      <c r="Q296">
        <f t="shared" si="22"/>
        <v>14353.967999999999</v>
      </c>
      <c r="R296">
        <f t="shared" si="23"/>
        <v>1183.5200000000004</v>
      </c>
      <c r="S296">
        <f t="shared" si="24"/>
        <v>899.47520000000031</v>
      </c>
    </row>
    <row r="297" spans="1:19"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c r="O297" t="str">
        <f t="shared" si="20"/>
        <v>Oct</v>
      </c>
      <c r="P297" t="str">
        <f t="shared" si="21"/>
        <v>Thursday</v>
      </c>
      <c r="Q297">
        <f t="shared" si="22"/>
        <v>19546.598300000001</v>
      </c>
      <c r="R297">
        <f t="shared" si="23"/>
        <v>4023.5599999999972</v>
      </c>
      <c r="S297">
        <f t="shared" si="24"/>
        <v>3580.9683999999975</v>
      </c>
    </row>
    <row r="298" spans="1:19"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c r="O298" t="str">
        <f t="shared" si="20"/>
        <v>Nov</v>
      </c>
      <c r="P298" t="str">
        <f t="shared" si="21"/>
        <v>Wednesday</v>
      </c>
      <c r="Q298">
        <f t="shared" si="22"/>
        <v>7132.2257999999993</v>
      </c>
      <c r="R298">
        <f t="shared" si="23"/>
        <v>5753.58</v>
      </c>
      <c r="S298">
        <f t="shared" si="24"/>
        <v>5350.8293999999996</v>
      </c>
    </row>
    <row r="299" spans="1:19"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c r="O299" t="str">
        <f t="shared" si="20"/>
        <v>Oct</v>
      </c>
      <c r="P299" t="str">
        <f t="shared" si="21"/>
        <v>Friday</v>
      </c>
      <c r="Q299">
        <f t="shared" si="22"/>
        <v>21803.308800000003</v>
      </c>
      <c r="R299">
        <f t="shared" si="23"/>
        <v>4827.6199999999953</v>
      </c>
      <c r="S299">
        <f t="shared" si="24"/>
        <v>3765.5435999999963</v>
      </c>
    </row>
    <row r="300" spans="1:19"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c r="O300" t="str">
        <f t="shared" si="20"/>
        <v>May</v>
      </c>
      <c r="P300" t="str">
        <f t="shared" si="21"/>
        <v>Wednesday</v>
      </c>
      <c r="Q300">
        <f t="shared" si="22"/>
        <v>36705.295899999997</v>
      </c>
      <c r="R300">
        <f t="shared" si="23"/>
        <v>1299.3499999999976</v>
      </c>
      <c r="S300">
        <f t="shared" si="24"/>
        <v>1182.408499999998</v>
      </c>
    </row>
    <row r="301" spans="1:19" x14ac:dyDescent="0.3">
      <c r="A301">
        <v>1048</v>
      </c>
      <c r="B301" s="1">
        <v>44945</v>
      </c>
      <c r="C301" t="s">
        <v>14</v>
      </c>
      <c r="D301" t="s">
        <v>21</v>
      </c>
      <c r="E301">
        <v>5187.16</v>
      </c>
      <c r="F301">
        <v>7</v>
      </c>
      <c r="G301" t="s">
        <v>29</v>
      </c>
      <c r="H301">
        <v>4310.95</v>
      </c>
      <c r="I301">
        <v>4723.2</v>
      </c>
      <c r="J301" t="s">
        <v>17</v>
      </c>
      <c r="K301">
        <v>0.05</v>
      </c>
      <c r="L301" t="s">
        <v>31</v>
      </c>
      <c r="M301" t="s">
        <v>22</v>
      </c>
      <c r="N301" t="s">
        <v>23</v>
      </c>
      <c r="O301" t="str">
        <f t="shared" si="20"/>
        <v>Jan</v>
      </c>
      <c r="P301" t="str">
        <f t="shared" si="21"/>
        <v>Thursday</v>
      </c>
      <c r="Q301">
        <f t="shared" si="22"/>
        <v>28667.817499999997</v>
      </c>
      <c r="R301">
        <f t="shared" si="23"/>
        <v>2885.75</v>
      </c>
      <c r="S301">
        <f t="shared" si="24"/>
        <v>2741.4625000000001</v>
      </c>
    </row>
    <row r="302" spans="1:19"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c r="O302" t="str">
        <f t="shared" si="20"/>
        <v>Jan</v>
      </c>
      <c r="P302" t="str">
        <f t="shared" si="21"/>
        <v>Wednesday</v>
      </c>
      <c r="Q302">
        <f t="shared" si="22"/>
        <v>58977.124800000005</v>
      </c>
      <c r="R302">
        <f t="shared" si="23"/>
        <v>9686.5999999999949</v>
      </c>
      <c r="S302">
        <f t="shared" si="24"/>
        <v>7361.8159999999962</v>
      </c>
    </row>
    <row r="303" spans="1:19"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c r="O303" t="str">
        <f t="shared" si="20"/>
        <v>Sep</v>
      </c>
      <c r="P303" t="str">
        <f t="shared" si="21"/>
        <v>Thursday</v>
      </c>
      <c r="Q303">
        <f t="shared" si="22"/>
        <v>44857.175999999999</v>
      </c>
      <c r="R303">
        <f t="shared" si="23"/>
        <v>1538.9999999998554</v>
      </c>
      <c r="S303">
        <f t="shared" si="24"/>
        <v>1400.4899999998684</v>
      </c>
    </row>
    <row r="304" spans="1:19"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c r="O304" t="str">
        <f t="shared" si="20"/>
        <v>Mar</v>
      </c>
      <c r="P304" t="str">
        <f t="shared" si="21"/>
        <v>Sunday</v>
      </c>
      <c r="Q304">
        <f t="shared" si="22"/>
        <v>24736.867600000001</v>
      </c>
      <c r="R304">
        <f t="shared" si="23"/>
        <v>2813.5199999999986</v>
      </c>
      <c r="S304">
        <f t="shared" si="24"/>
        <v>2053.8695999999991</v>
      </c>
    </row>
    <row r="305" spans="1:19" x14ac:dyDescent="0.3">
      <c r="A305">
        <v>1024</v>
      </c>
      <c r="B305" s="1">
        <v>45101</v>
      </c>
      <c r="C305" t="s">
        <v>42</v>
      </c>
      <c r="D305" t="s">
        <v>15</v>
      </c>
      <c r="E305">
        <v>8292.31</v>
      </c>
      <c r="F305">
        <v>43</v>
      </c>
      <c r="G305" t="s">
        <v>29</v>
      </c>
      <c r="H305">
        <v>3105.24</v>
      </c>
      <c r="I305">
        <v>3246.33</v>
      </c>
      <c r="J305" t="s">
        <v>30</v>
      </c>
      <c r="K305">
        <v>0.25</v>
      </c>
      <c r="L305" t="s">
        <v>18</v>
      </c>
      <c r="M305" t="s">
        <v>19</v>
      </c>
      <c r="N305" t="s">
        <v>49</v>
      </c>
      <c r="O305" t="str">
        <f t="shared" si="20"/>
        <v>Jun</v>
      </c>
      <c r="P305" t="str">
        <f t="shared" si="21"/>
        <v>Saturday</v>
      </c>
      <c r="Q305">
        <f t="shared" si="22"/>
        <v>100143.98999999999</v>
      </c>
      <c r="R305">
        <f t="shared" si="23"/>
        <v>6066.8700000000063</v>
      </c>
      <c r="S305">
        <f t="shared" si="24"/>
        <v>4550.1525000000047</v>
      </c>
    </row>
    <row r="306" spans="1:19" x14ac:dyDescent="0.3">
      <c r="A306">
        <v>1054</v>
      </c>
      <c r="B306" s="1">
        <v>45120</v>
      </c>
      <c r="C306" t="s">
        <v>42</v>
      </c>
      <c r="D306" t="s">
        <v>25</v>
      </c>
      <c r="E306">
        <v>7002.37</v>
      </c>
      <c r="F306">
        <v>47</v>
      </c>
      <c r="G306" t="s">
        <v>26</v>
      </c>
      <c r="H306">
        <v>4429.8</v>
      </c>
      <c r="I306">
        <v>4694.21</v>
      </c>
      <c r="J306" t="s">
        <v>30</v>
      </c>
      <c r="K306">
        <v>0.25</v>
      </c>
      <c r="L306" t="s">
        <v>27</v>
      </c>
      <c r="M306" t="s">
        <v>19</v>
      </c>
      <c r="N306" t="s">
        <v>43</v>
      </c>
      <c r="O306" t="str">
        <f t="shared" si="20"/>
        <v>Jul</v>
      </c>
      <c r="P306" t="str">
        <f t="shared" si="21"/>
        <v>Thursday</v>
      </c>
      <c r="Q306">
        <f t="shared" si="22"/>
        <v>156150.45000000001</v>
      </c>
      <c r="R306">
        <f t="shared" si="23"/>
        <v>12427.269999999993</v>
      </c>
      <c r="S306">
        <f t="shared" si="24"/>
        <v>9320.4524999999958</v>
      </c>
    </row>
    <row r="307" spans="1:19" x14ac:dyDescent="0.3">
      <c r="A307">
        <v>1033</v>
      </c>
      <c r="B307" s="1">
        <v>45039</v>
      </c>
      <c r="C307" t="s">
        <v>33</v>
      </c>
      <c r="D307" t="s">
        <v>34</v>
      </c>
      <c r="E307">
        <v>7171.83</v>
      </c>
      <c r="F307">
        <v>44</v>
      </c>
      <c r="G307" t="s">
        <v>35</v>
      </c>
      <c r="H307">
        <v>1195.22</v>
      </c>
      <c r="I307">
        <v>1320.06</v>
      </c>
      <c r="J307" t="s">
        <v>17</v>
      </c>
      <c r="K307">
        <v>0.23</v>
      </c>
      <c r="L307" t="s">
        <v>27</v>
      </c>
      <c r="M307" t="s">
        <v>22</v>
      </c>
      <c r="N307" t="s">
        <v>36</v>
      </c>
      <c r="O307" t="str">
        <f t="shared" si="20"/>
        <v>Apr</v>
      </c>
      <c r="P307" t="str">
        <f t="shared" si="21"/>
        <v>Sunday</v>
      </c>
      <c r="Q307">
        <f t="shared" si="22"/>
        <v>40494.053599999999</v>
      </c>
      <c r="R307">
        <f t="shared" si="23"/>
        <v>5492.9599999999964</v>
      </c>
      <c r="S307">
        <f t="shared" si="24"/>
        <v>4229.5791999999974</v>
      </c>
    </row>
    <row r="308" spans="1:19" x14ac:dyDescent="0.3">
      <c r="A308">
        <v>1024</v>
      </c>
      <c r="B308" s="1">
        <v>45040</v>
      </c>
      <c r="C308" t="s">
        <v>24</v>
      </c>
      <c r="D308" t="s">
        <v>15</v>
      </c>
      <c r="E308">
        <v>4670.99</v>
      </c>
      <c r="F308">
        <v>35</v>
      </c>
      <c r="G308" t="s">
        <v>16</v>
      </c>
      <c r="H308">
        <v>2051</v>
      </c>
      <c r="I308">
        <v>2121.5500000000002</v>
      </c>
      <c r="J308" t="s">
        <v>17</v>
      </c>
      <c r="K308">
        <v>0.26</v>
      </c>
      <c r="L308" t="s">
        <v>18</v>
      </c>
      <c r="M308" t="s">
        <v>22</v>
      </c>
      <c r="N308" t="s">
        <v>45</v>
      </c>
      <c r="O308" t="str">
        <f t="shared" si="20"/>
        <v>Apr</v>
      </c>
      <c r="P308" t="str">
        <f t="shared" si="21"/>
        <v>Monday</v>
      </c>
      <c r="Q308">
        <f t="shared" si="22"/>
        <v>53120.9</v>
      </c>
      <c r="R308">
        <f t="shared" si="23"/>
        <v>2469.2500000000064</v>
      </c>
      <c r="S308">
        <f t="shared" si="24"/>
        <v>1827.2450000000047</v>
      </c>
    </row>
    <row r="309" spans="1:19"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c r="O309" t="str">
        <f t="shared" si="20"/>
        <v>Aug</v>
      </c>
      <c r="P309" t="str">
        <f t="shared" si="21"/>
        <v>Thursday</v>
      </c>
      <c r="Q309">
        <f t="shared" si="22"/>
        <v>64169.247200000005</v>
      </c>
      <c r="R309">
        <f t="shared" si="23"/>
        <v>1200.3699999998398</v>
      </c>
      <c r="S309">
        <f t="shared" si="24"/>
        <v>912.28119999987825</v>
      </c>
    </row>
    <row r="310" spans="1:19"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c r="O310" t="str">
        <f t="shared" si="20"/>
        <v>Jun</v>
      </c>
      <c r="P310" t="str">
        <f t="shared" si="21"/>
        <v>Thursday</v>
      </c>
      <c r="Q310">
        <f t="shared" si="22"/>
        <v>124826.63199999998</v>
      </c>
      <c r="R310">
        <f t="shared" si="23"/>
        <v>10353.350000000013</v>
      </c>
      <c r="S310">
        <f t="shared" si="24"/>
        <v>8489.7470000000121</v>
      </c>
    </row>
    <row r="311" spans="1:19" x14ac:dyDescent="0.3">
      <c r="A311">
        <v>1036</v>
      </c>
      <c r="B311" s="1">
        <v>45245</v>
      </c>
      <c r="C311" t="s">
        <v>14</v>
      </c>
      <c r="D311" t="s">
        <v>21</v>
      </c>
      <c r="E311">
        <v>7316.91</v>
      </c>
      <c r="F311">
        <v>19</v>
      </c>
      <c r="G311" t="s">
        <v>16</v>
      </c>
      <c r="H311">
        <v>2844.97</v>
      </c>
      <c r="I311">
        <v>3215</v>
      </c>
      <c r="J311" t="s">
        <v>17</v>
      </c>
      <c r="K311">
        <v>0.09</v>
      </c>
      <c r="L311" t="s">
        <v>31</v>
      </c>
      <c r="M311" t="s">
        <v>22</v>
      </c>
      <c r="N311" t="s">
        <v>23</v>
      </c>
      <c r="O311" t="str">
        <f t="shared" si="20"/>
        <v>Nov</v>
      </c>
      <c r="P311" t="str">
        <f t="shared" si="21"/>
        <v>Wednesday</v>
      </c>
      <c r="Q311">
        <f t="shared" si="22"/>
        <v>49189.531299999995</v>
      </c>
      <c r="R311">
        <f t="shared" si="23"/>
        <v>7030.5700000000033</v>
      </c>
      <c r="S311">
        <f t="shared" si="24"/>
        <v>6397.8187000000034</v>
      </c>
    </row>
    <row r="312" spans="1:19" x14ac:dyDescent="0.3">
      <c r="A312">
        <v>1038</v>
      </c>
      <c r="B312" s="1">
        <v>45058</v>
      </c>
      <c r="C312" t="s">
        <v>14</v>
      </c>
      <c r="D312" t="s">
        <v>25</v>
      </c>
      <c r="E312">
        <v>8630.74</v>
      </c>
      <c r="F312">
        <v>20</v>
      </c>
      <c r="G312" t="s">
        <v>29</v>
      </c>
      <c r="H312">
        <v>2607.31</v>
      </c>
      <c r="I312">
        <v>2774.86</v>
      </c>
      <c r="J312" t="s">
        <v>30</v>
      </c>
      <c r="K312">
        <v>0.27</v>
      </c>
      <c r="L312" t="s">
        <v>31</v>
      </c>
      <c r="M312" t="s">
        <v>22</v>
      </c>
      <c r="N312" t="s">
        <v>32</v>
      </c>
      <c r="O312" t="str">
        <f t="shared" si="20"/>
        <v>May</v>
      </c>
      <c r="P312" t="str">
        <f t="shared" si="21"/>
        <v>Friday</v>
      </c>
      <c r="Q312">
        <f t="shared" si="22"/>
        <v>38066.725999999995</v>
      </c>
      <c r="R312">
        <f t="shared" si="23"/>
        <v>3351.0000000000036</v>
      </c>
      <c r="S312">
        <f t="shared" si="24"/>
        <v>2446.2300000000027</v>
      </c>
    </row>
    <row r="313" spans="1:19" x14ac:dyDescent="0.3">
      <c r="A313">
        <v>1084</v>
      </c>
      <c r="B313" s="1">
        <v>45190</v>
      </c>
      <c r="C313" t="s">
        <v>38</v>
      </c>
      <c r="D313" t="s">
        <v>25</v>
      </c>
      <c r="E313">
        <v>2813.31</v>
      </c>
      <c r="F313">
        <v>36</v>
      </c>
      <c r="G313" t="s">
        <v>16</v>
      </c>
      <c r="H313">
        <v>1458.77</v>
      </c>
      <c r="I313">
        <v>1485.75</v>
      </c>
      <c r="J313" t="s">
        <v>30</v>
      </c>
      <c r="K313">
        <v>0.25</v>
      </c>
      <c r="L313" t="s">
        <v>31</v>
      </c>
      <c r="M313" t="s">
        <v>19</v>
      </c>
      <c r="N313" t="s">
        <v>39</v>
      </c>
      <c r="O313" t="str">
        <f t="shared" si="20"/>
        <v>Sep</v>
      </c>
      <c r="P313" t="str">
        <f t="shared" si="21"/>
        <v>Thursday</v>
      </c>
      <c r="Q313">
        <f t="shared" si="22"/>
        <v>39386.79</v>
      </c>
      <c r="R313">
        <f t="shared" si="23"/>
        <v>971.28000000000065</v>
      </c>
      <c r="S313">
        <f t="shared" si="24"/>
        <v>728.46000000000049</v>
      </c>
    </row>
    <row r="314" spans="1:19"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c r="O314" t="str">
        <f t="shared" si="20"/>
        <v>Feb</v>
      </c>
      <c r="P314" t="str">
        <f t="shared" si="21"/>
        <v>Friday</v>
      </c>
      <c r="Q314">
        <f t="shared" si="22"/>
        <v>78566.719000000012</v>
      </c>
      <c r="R314">
        <f t="shared" si="23"/>
        <v>2531.9000000000051</v>
      </c>
      <c r="S314">
        <f t="shared" si="24"/>
        <v>2177.4340000000043</v>
      </c>
    </row>
    <row r="315" spans="1:19" x14ac:dyDescent="0.3">
      <c r="A315">
        <v>1089</v>
      </c>
      <c r="B315" s="1">
        <v>45285</v>
      </c>
      <c r="C315" t="s">
        <v>38</v>
      </c>
      <c r="D315" t="s">
        <v>25</v>
      </c>
      <c r="E315">
        <v>2032.88</v>
      </c>
      <c r="F315">
        <v>32</v>
      </c>
      <c r="G315" t="s">
        <v>29</v>
      </c>
      <c r="H315">
        <v>4248.5</v>
      </c>
      <c r="I315">
        <v>4706.7</v>
      </c>
      <c r="J315" t="s">
        <v>30</v>
      </c>
      <c r="K315">
        <v>0.01</v>
      </c>
      <c r="L315" t="s">
        <v>27</v>
      </c>
      <c r="M315" t="s">
        <v>22</v>
      </c>
      <c r="N315" t="s">
        <v>39</v>
      </c>
      <c r="O315" t="str">
        <f t="shared" si="20"/>
        <v>Dec</v>
      </c>
      <c r="P315" t="str">
        <f t="shared" si="21"/>
        <v>Monday</v>
      </c>
      <c r="Q315">
        <f t="shared" si="22"/>
        <v>134592.48000000001</v>
      </c>
      <c r="R315">
        <f t="shared" si="23"/>
        <v>14662.399999999994</v>
      </c>
      <c r="S315">
        <f t="shared" si="24"/>
        <v>14515.775999999994</v>
      </c>
    </row>
    <row r="316" spans="1:19" x14ac:dyDescent="0.3">
      <c r="A316">
        <v>1099</v>
      </c>
      <c r="B316" s="1">
        <v>45057</v>
      </c>
      <c r="C316" t="s">
        <v>42</v>
      </c>
      <c r="D316" t="s">
        <v>25</v>
      </c>
      <c r="E316">
        <v>3518.89</v>
      </c>
      <c r="F316">
        <v>48</v>
      </c>
      <c r="G316" t="s">
        <v>26</v>
      </c>
      <c r="H316">
        <v>3441.61</v>
      </c>
      <c r="I316">
        <v>3693.45</v>
      </c>
      <c r="J316" t="s">
        <v>17</v>
      </c>
      <c r="K316">
        <v>0.19</v>
      </c>
      <c r="L316" t="s">
        <v>27</v>
      </c>
      <c r="M316" t="s">
        <v>19</v>
      </c>
      <c r="N316" t="s">
        <v>43</v>
      </c>
      <c r="O316" t="str">
        <f t="shared" si="20"/>
        <v>May</v>
      </c>
      <c r="P316" t="str">
        <f t="shared" si="21"/>
        <v>Thursday</v>
      </c>
      <c r="Q316">
        <f t="shared" si="22"/>
        <v>133809.79680000001</v>
      </c>
      <c r="R316">
        <f t="shared" si="23"/>
        <v>12088.319999999985</v>
      </c>
      <c r="S316">
        <f t="shared" si="24"/>
        <v>9791.5391999999883</v>
      </c>
    </row>
    <row r="317" spans="1:19" x14ac:dyDescent="0.3">
      <c r="A317">
        <v>1025</v>
      </c>
      <c r="B317" s="1">
        <v>45214</v>
      </c>
      <c r="C317" t="s">
        <v>24</v>
      </c>
      <c r="D317" t="s">
        <v>15</v>
      </c>
      <c r="E317">
        <v>3422.54</v>
      </c>
      <c r="F317">
        <v>44</v>
      </c>
      <c r="G317" t="s">
        <v>26</v>
      </c>
      <c r="H317">
        <v>1485.72</v>
      </c>
      <c r="I317">
        <v>1717.97</v>
      </c>
      <c r="J317" t="s">
        <v>30</v>
      </c>
      <c r="K317">
        <v>0.02</v>
      </c>
      <c r="L317" t="s">
        <v>31</v>
      </c>
      <c r="M317" t="s">
        <v>22</v>
      </c>
      <c r="N317" t="s">
        <v>45</v>
      </c>
      <c r="O317" t="str">
        <f t="shared" si="20"/>
        <v>Oct</v>
      </c>
      <c r="P317" t="str">
        <f t="shared" si="21"/>
        <v>Sunday</v>
      </c>
      <c r="Q317">
        <f t="shared" si="22"/>
        <v>64064.246399999996</v>
      </c>
      <c r="R317">
        <f t="shared" si="23"/>
        <v>10219</v>
      </c>
      <c r="S317">
        <f t="shared" si="24"/>
        <v>10014.619999999999</v>
      </c>
    </row>
    <row r="318" spans="1:19"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c r="O318" t="str">
        <f t="shared" si="20"/>
        <v>Sep</v>
      </c>
      <c r="P318" t="str">
        <f t="shared" si="21"/>
        <v>Saturday</v>
      </c>
      <c r="Q318">
        <f t="shared" si="22"/>
        <v>30160.799999999999</v>
      </c>
      <c r="R318">
        <f t="shared" si="23"/>
        <v>1145.600000000004</v>
      </c>
      <c r="S318">
        <f t="shared" si="24"/>
        <v>824.83200000000284</v>
      </c>
    </row>
    <row r="319" spans="1:19"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c r="O319" t="str">
        <f t="shared" si="20"/>
        <v>Jan</v>
      </c>
      <c r="P319" t="str">
        <f t="shared" si="21"/>
        <v>Monday</v>
      </c>
      <c r="Q319">
        <f t="shared" si="22"/>
        <v>23221.771199999999</v>
      </c>
      <c r="R319">
        <f t="shared" si="23"/>
        <v>8808.7199999999993</v>
      </c>
      <c r="S319">
        <f t="shared" si="24"/>
        <v>6254.1911999999993</v>
      </c>
    </row>
    <row r="320" spans="1:19" x14ac:dyDescent="0.3">
      <c r="A320">
        <v>1082</v>
      </c>
      <c r="B320" s="1">
        <v>45088</v>
      </c>
      <c r="C320" t="s">
        <v>42</v>
      </c>
      <c r="D320" t="s">
        <v>15</v>
      </c>
      <c r="E320">
        <v>7041.58</v>
      </c>
      <c r="F320">
        <v>17</v>
      </c>
      <c r="G320" t="s">
        <v>16</v>
      </c>
      <c r="H320">
        <v>890.31</v>
      </c>
      <c r="I320">
        <v>1159.06</v>
      </c>
      <c r="J320" t="s">
        <v>17</v>
      </c>
      <c r="K320">
        <v>0.06</v>
      </c>
      <c r="L320" t="s">
        <v>18</v>
      </c>
      <c r="M320" t="s">
        <v>22</v>
      </c>
      <c r="N320" t="s">
        <v>49</v>
      </c>
      <c r="O320" t="str">
        <f t="shared" si="20"/>
        <v>Jun</v>
      </c>
      <c r="P320" t="str">
        <f t="shared" si="21"/>
        <v>Sunday</v>
      </c>
      <c r="Q320">
        <f t="shared" si="22"/>
        <v>14227.153799999998</v>
      </c>
      <c r="R320">
        <f t="shared" si="23"/>
        <v>4568.75</v>
      </c>
      <c r="S320">
        <f t="shared" si="24"/>
        <v>4294.625</v>
      </c>
    </row>
    <row r="321" spans="1:19"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c r="O321" t="str">
        <f t="shared" si="20"/>
        <v>Mar</v>
      </c>
      <c r="P321" t="str">
        <f t="shared" si="21"/>
        <v>Tuesday</v>
      </c>
      <c r="Q321">
        <f t="shared" si="22"/>
        <v>2931.152</v>
      </c>
      <c r="R321">
        <f t="shared" si="23"/>
        <v>763.13999999999351</v>
      </c>
      <c r="S321">
        <f t="shared" si="24"/>
        <v>610.51199999999483</v>
      </c>
    </row>
    <row r="322" spans="1:19"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c r="O322" t="str">
        <f t="shared" si="20"/>
        <v>Feb</v>
      </c>
      <c r="P322" t="str">
        <f t="shared" si="21"/>
        <v>Friday</v>
      </c>
      <c r="Q322">
        <f t="shared" si="22"/>
        <v>88622.071199999991</v>
      </c>
      <c r="R322">
        <f t="shared" si="23"/>
        <v>2749.4200000000023</v>
      </c>
      <c r="S322">
        <f t="shared" si="24"/>
        <v>2666.9374000000021</v>
      </c>
    </row>
    <row r="323" spans="1:19"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c r="O323" t="str">
        <f t="shared" ref="O323:O386" si="25">TEXT(B323,"mmm")</f>
        <v>Oct</v>
      </c>
      <c r="P323" t="str">
        <f t="shared" ref="P323:P386" si="26">TEXT(B323,"dddd")</f>
        <v>Sunday</v>
      </c>
      <c r="Q323">
        <f t="shared" ref="Q323:Q386" si="27">(F323*H323)*(1-K323)</f>
        <v>476.44740000000007</v>
      </c>
      <c r="R323">
        <f t="shared" ref="R323:R386" si="28">(I323-H323)*F323</f>
        <v>197.86</v>
      </c>
      <c r="S323">
        <f t="shared" ref="S323:S386" si="29">((I323-H323)*F323)*(1-K323)</f>
        <v>154.33080000000001</v>
      </c>
    </row>
    <row r="324" spans="1:19" x14ac:dyDescent="0.3">
      <c r="A324">
        <v>1080</v>
      </c>
      <c r="B324" s="1">
        <v>45104</v>
      </c>
      <c r="C324" t="s">
        <v>38</v>
      </c>
      <c r="D324" t="s">
        <v>21</v>
      </c>
      <c r="E324">
        <v>5012.96</v>
      </c>
      <c r="F324">
        <v>35</v>
      </c>
      <c r="G324" t="s">
        <v>16</v>
      </c>
      <c r="H324">
        <v>900.97</v>
      </c>
      <c r="I324">
        <v>1321.18</v>
      </c>
      <c r="J324" t="s">
        <v>17</v>
      </c>
      <c r="K324">
        <v>0.1</v>
      </c>
      <c r="L324" t="s">
        <v>18</v>
      </c>
      <c r="M324" t="s">
        <v>19</v>
      </c>
      <c r="N324" t="s">
        <v>41</v>
      </c>
      <c r="O324" t="str">
        <f t="shared" si="25"/>
        <v>Jun</v>
      </c>
      <c r="P324" t="str">
        <f t="shared" si="26"/>
        <v>Tuesday</v>
      </c>
      <c r="Q324">
        <f t="shared" si="27"/>
        <v>28380.555</v>
      </c>
      <c r="R324">
        <f t="shared" si="28"/>
        <v>14707.350000000002</v>
      </c>
      <c r="S324">
        <f t="shared" si="29"/>
        <v>13236.615000000002</v>
      </c>
    </row>
    <row r="325" spans="1:19" x14ac:dyDescent="0.3">
      <c r="A325">
        <v>1061</v>
      </c>
      <c r="B325" s="1">
        <v>45275</v>
      </c>
      <c r="C325" t="s">
        <v>42</v>
      </c>
      <c r="D325" t="s">
        <v>15</v>
      </c>
      <c r="E325">
        <v>3867.13</v>
      </c>
      <c r="F325">
        <v>32</v>
      </c>
      <c r="G325" t="s">
        <v>26</v>
      </c>
      <c r="H325">
        <v>2759.26</v>
      </c>
      <c r="I325">
        <v>3193.25</v>
      </c>
      <c r="J325" t="s">
        <v>30</v>
      </c>
      <c r="K325">
        <v>0.2</v>
      </c>
      <c r="L325" t="s">
        <v>27</v>
      </c>
      <c r="M325" t="s">
        <v>19</v>
      </c>
      <c r="N325" t="s">
        <v>49</v>
      </c>
      <c r="O325" t="str">
        <f t="shared" si="25"/>
        <v>Dec</v>
      </c>
      <c r="P325" t="str">
        <f t="shared" si="26"/>
        <v>Friday</v>
      </c>
      <c r="Q325">
        <f t="shared" si="27"/>
        <v>70637.056000000011</v>
      </c>
      <c r="R325">
        <f t="shared" si="28"/>
        <v>13887.679999999993</v>
      </c>
      <c r="S325">
        <f t="shared" si="29"/>
        <v>11110.143999999995</v>
      </c>
    </row>
    <row r="326" spans="1:19"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c r="O326" t="str">
        <f t="shared" si="25"/>
        <v>Jan</v>
      </c>
      <c r="P326" t="str">
        <f t="shared" si="26"/>
        <v>Sunday</v>
      </c>
      <c r="Q326">
        <f t="shared" si="27"/>
        <v>27707.230800000001</v>
      </c>
      <c r="R326">
        <f t="shared" si="28"/>
        <v>10994.039999999644</v>
      </c>
      <c r="S326">
        <f t="shared" si="29"/>
        <v>9784.6955999996844</v>
      </c>
    </row>
    <row r="327" spans="1:19" x14ac:dyDescent="0.3">
      <c r="A327">
        <v>1100</v>
      </c>
      <c r="B327" s="1">
        <v>45247</v>
      </c>
      <c r="C327" t="s">
        <v>14</v>
      </c>
      <c r="D327" t="s">
        <v>34</v>
      </c>
      <c r="E327">
        <v>7883.44</v>
      </c>
      <c r="F327">
        <v>13</v>
      </c>
      <c r="G327" t="s">
        <v>26</v>
      </c>
      <c r="H327">
        <v>366.2</v>
      </c>
      <c r="I327">
        <v>732.69</v>
      </c>
      <c r="J327" t="s">
        <v>30</v>
      </c>
      <c r="K327">
        <v>0.04</v>
      </c>
      <c r="L327" t="s">
        <v>18</v>
      </c>
      <c r="M327" t="s">
        <v>22</v>
      </c>
      <c r="N327" t="s">
        <v>46</v>
      </c>
      <c r="O327" t="str">
        <f t="shared" si="25"/>
        <v>Nov</v>
      </c>
      <c r="P327" t="str">
        <f t="shared" si="26"/>
        <v>Friday</v>
      </c>
      <c r="Q327">
        <f t="shared" si="27"/>
        <v>4570.1759999999995</v>
      </c>
      <c r="R327">
        <f t="shared" si="28"/>
        <v>4764.3700000000008</v>
      </c>
      <c r="S327">
        <f t="shared" si="29"/>
        <v>4573.7952000000005</v>
      </c>
    </row>
    <row r="328" spans="1:19" x14ac:dyDescent="0.3">
      <c r="A328">
        <v>1033</v>
      </c>
      <c r="B328" s="1">
        <v>45239</v>
      </c>
      <c r="C328" t="s">
        <v>24</v>
      </c>
      <c r="D328" t="s">
        <v>34</v>
      </c>
      <c r="E328">
        <v>7370.99</v>
      </c>
      <c r="F328">
        <v>6</v>
      </c>
      <c r="G328" t="s">
        <v>29</v>
      </c>
      <c r="H328">
        <v>1621.07</v>
      </c>
      <c r="I328">
        <v>1687.5</v>
      </c>
      <c r="J328" t="s">
        <v>17</v>
      </c>
      <c r="K328">
        <v>0.12</v>
      </c>
      <c r="L328" t="s">
        <v>31</v>
      </c>
      <c r="M328" t="s">
        <v>19</v>
      </c>
      <c r="N328" t="s">
        <v>50</v>
      </c>
      <c r="O328" t="str">
        <f t="shared" si="25"/>
        <v>Nov</v>
      </c>
      <c r="P328" t="str">
        <f t="shared" si="26"/>
        <v>Thursday</v>
      </c>
      <c r="Q328">
        <f t="shared" si="27"/>
        <v>8559.249600000001</v>
      </c>
      <c r="R328">
        <f t="shared" si="28"/>
        <v>398.58000000000038</v>
      </c>
      <c r="S328">
        <f t="shared" si="29"/>
        <v>350.75040000000035</v>
      </c>
    </row>
    <row r="329" spans="1:19" x14ac:dyDescent="0.3">
      <c r="A329">
        <v>1068</v>
      </c>
      <c r="B329" s="1">
        <v>45173</v>
      </c>
      <c r="C329" t="s">
        <v>38</v>
      </c>
      <c r="D329" t="s">
        <v>34</v>
      </c>
      <c r="E329">
        <v>3905.11</v>
      </c>
      <c r="F329">
        <v>14</v>
      </c>
      <c r="G329" t="s">
        <v>26</v>
      </c>
      <c r="H329">
        <v>1140.58</v>
      </c>
      <c r="I329">
        <v>1438.76</v>
      </c>
      <c r="J329" t="s">
        <v>17</v>
      </c>
      <c r="K329">
        <v>0.03</v>
      </c>
      <c r="L329" t="s">
        <v>27</v>
      </c>
      <c r="M329" t="s">
        <v>19</v>
      </c>
      <c r="N329" t="s">
        <v>48</v>
      </c>
      <c r="O329" t="str">
        <f t="shared" si="25"/>
        <v>Sep</v>
      </c>
      <c r="P329" t="str">
        <f t="shared" si="26"/>
        <v>Monday</v>
      </c>
      <c r="Q329">
        <f t="shared" si="27"/>
        <v>15489.076399999998</v>
      </c>
      <c r="R329">
        <f t="shared" si="28"/>
        <v>4174.5200000000004</v>
      </c>
      <c r="S329">
        <f t="shared" si="29"/>
        <v>4049.2844000000005</v>
      </c>
    </row>
    <row r="330" spans="1:19"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c r="O330" t="str">
        <f t="shared" si="25"/>
        <v>Nov</v>
      </c>
      <c r="P330" t="str">
        <f t="shared" si="26"/>
        <v>Sunday</v>
      </c>
      <c r="Q330">
        <f t="shared" si="27"/>
        <v>79869.339600000007</v>
      </c>
      <c r="R330">
        <f t="shared" si="28"/>
        <v>12461.969999999998</v>
      </c>
      <c r="S330">
        <f t="shared" si="29"/>
        <v>10343.435099999997</v>
      </c>
    </row>
    <row r="331" spans="1:19" x14ac:dyDescent="0.3">
      <c r="A331">
        <v>1014</v>
      </c>
      <c r="B331" s="1">
        <v>45181</v>
      </c>
      <c r="C331" t="s">
        <v>33</v>
      </c>
      <c r="D331" t="s">
        <v>34</v>
      </c>
      <c r="E331">
        <v>8406.07</v>
      </c>
      <c r="F331">
        <v>48</v>
      </c>
      <c r="G331" t="s">
        <v>16</v>
      </c>
      <c r="H331">
        <v>556.72</v>
      </c>
      <c r="I331">
        <v>665.07</v>
      </c>
      <c r="J331" t="s">
        <v>17</v>
      </c>
      <c r="K331">
        <v>0.01</v>
      </c>
      <c r="L331" t="s">
        <v>27</v>
      </c>
      <c r="M331" t="s">
        <v>22</v>
      </c>
      <c r="N331" t="s">
        <v>36</v>
      </c>
      <c r="O331" t="str">
        <f t="shared" si="25"/>
        <v>Sep</v>
      </c>
      <c r="P331" t="str">
        <f t="shared" si="26"/>
        <v>Tuesday</v>
      </c>
      <c r="Q331">
        <f t="shared" si="27"/>
        <v>26455.3344</v>
      </c>
      <c r="R331">
        <f t="shared" si="28"/>
        <v>5200.8000000000011</v>
      </c>
      <c r="S331">
        <f t="shared" si="29"/>
        <v>5148.7920000000013</v>
      </c>
    </row>
    <row r="332" spans="1:19" x14ac:dyDescent="0.3">
      <c r="A332">
        <v>1021</v>
      </c>
      <c r="B332" s="1">
        <v>45254</v>
      </c>
      <c r="C332" t="s">
        <v>38</v>
      </c>
      <c r="D332" t="s">
        <v>15</v>
      </c>
      <c r="E332">
        <v>213.04</v>
      </c>
      <c r="F332">
        <v>15</v>
      </c>
      <c r="G332" t="s">
        <v>26</v>
      </c>
      <c r="H332">
        <v>3771.27</v>
      </c>
      <c r="I332">
        <v>4212.55</v>
      </c>
      <c r="J332" t="s">
        <v>17</v>
      </c>
      <c r="K332">
        <v>0.16</v>
      </c>
      <c r="L332" t="s">
        <v>31</v>
      </c>
      <c r="M332" t="s">
        <v>22</v>
      </c>
      <c r="N332" t="s">
        <v>40</v>
      </c>
      <c r="O332" t="str">
        <f t="shared" si="25"/>
        <v>Nov</v>
      </c>
      <c r="P332" t="str">
        <f t="shared" si="26"/>
        <v>Friday</v>
      </c>
      <c r="Q332">
        <f t="shared" si="27"/>
        <v>47518.002</v>
      </c>
      <c r="R332">
        <f t="shared" si="28"/>
        <v>6619.2000000000025</v>
      </c>
      <c r="S332">
        <f t="shared" si="29"/>
        <v>5560.1280000000015</v>
      </c>
    </row>
    <row r="333" spans="1:19"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c r="O333" t="str">
        <f t="shared" si="25"/>
        <v>Feb</v>
      </c>
      <c r="P333" t="str">
        <f t="shared" si="26"/>
        <v>Thursday</v>
      </c>
      <c r="Q333">
        <f t="shared" si="27"/>
        <v>155625.35659999997</v>
      </c>
      <c r="R333">
        <f t="shared" si="28"/>
        <v>4960.8500000000085</v>
      </c>
      <c r="S333">
        <f t="shared" si="29"/>
        <v>3621.4205000000061</v>
      </c>
    </row>
    <row r="334" spans="1:19" x14ac:dyDescent="0.3">
      <c r="A334">
        <v>1020</v>
      </c>
      <c r="B334" s="1">
        <v>45175</v>
      </c>
      <c r="C334" t="s">
        <v>33</v>
      </c>
      <c r="D334" t="s">
        <v>34</v>
      </c>
      <c r="E334">
        <v>9705.5499999999993</v>
      </c>
      <c r="F334">
        <v>4</v>
      </c>
      <c r="G334" t="s">
        <v>29</v>
      </c>
      <c r="H334">
        <v>3730</v>
      </c>
      <c r="I334">
        <v>3893.6</v>
      </c>
      <c r="J334" t="s">
        <v>30</v>
      </c>
      <c r="K334">
        <v>0.25</v>
      </c>
      <c r="L334" t="s">
        <v>27</v>
      </c>
      <c r="M334" t="s">
        <v>22</v>
      </c>
      <c r="N334" t="s">
        <v>36</v>
      </c>
      <c r="O334" t="str">
        <f t="shared" si="25"/>
        <v>Sep</v>
      </c>
      <c r="P334" t="str">
        <f t="shared" si="26"/>
        <v>Wednesday</v>
      </c>
      <c r="Q334">
        <f t="shared" si="27"/>
        <v>11190</v>
      </c>
      <c r="R334">
        <f t="shared" si="28"/>
        <v>654.39999999999964</v>
      </c>
      <c r="S334">
        <f t="shared" si="29"/>
        <v>490.79999999999973</v>
      </c>
    </row>
    <row r="335" spans="1:19"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c r="O335" t="str">
        <f t="shared" si="25"/>
        <v>Aug</v>
      </c>
      <c r="P335" t="str">
        <f t="shared" si="26"/>
        <v>Sunday</v>
      </c>
      <c r="Q335">
        <f t="shared" si="27"/>
        <v>79549.703999999998</v>
      </c>
      <c r="R335">
        <f t="shared" si="28"/>
        <v>12562.800000000007</v>
      </c>
      <c r="S335">
        <f t="shared" si="29"/>
        <v>9296.4720000000052</v>
      </c>
    </row>
    <row r="336" spans="1:19"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c r="O336" t="str">
        <f t="shared" si="25"/>
        <v>Aug</v>
      </c>
      <c r="P336" t="str">
        <f t="shared" si="26"/>
        <v>Thursday</v>
      </c>
      <c r="Q336">
        <f t="shared" si="27"/>
        <v>49654.771200000003</v>
      </c>
      <c r="R336">
        <f t="shared" si="28"/>
        <v>5164.6399999999994</v>
      </c>
      <c r="S336">
        <f t="shared" si="29"/>
        <v>3718.5407999999993</v>
      </c>
    </row>
    <row r="337" spans="1:19"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c r="O337" t="str">
        <f t="shared" si="25"/>
        <v>Mar</v>
      </c>
      <c r="P337" t="str">
        <f t="shared" si="26"/>
        <v>Wednesday</v>
      </c>
      <c r="Q337">
        <f t="shared" si="27"/>
        <v>94784.326000000001</v>
      </c>
      <c r="R337">
        <f t="shared" si="28"/>
        <v>9875.5999999997275</v>
      </c>
      <c r="S337">
        <f t="shared" si="29"/>
        <v>9579.3319999997348</v>
      </c>
    </row>
    <row r="338" spans="1:19" x14ac:dyDescent="0.3">
      <c r="A338">
        <v>1017</v>
      </c>
      <c r="B338" s="1">
        <v>44977</v>
      </c>
      <c r="C338" t="s">
        <v>33</v>
      </c>
      <c r="D338" t="s">
        <v>15</v>
      </c>
      <c r="E338">
        <v>8189.57</v>
      </c>
      <c r="F338">
        <v>16</v>
      </c>
      <c r="G338" t="s">
        <v>16</v>
      </c>
      <c r="H338">
        <v>102.23</v>
      </c>
      <c r="I338">
        <v>167.12</v>
      </c>
      <c r="J338" t="s">
        <v>30</v>
      </c>
      <c r="K338">
        <v>0.04</v>
      </c>
      <c r="L338" t="s">
        <v>31</v>
      </c>
      <c r="M338" t="s">
        <v>22</v>
      </c>
      <c r="N338" t="s">
        <v>53</v>
      </c>
      <c r="O338" t="str">
        <f t="shared" si="25"/>
        <v>Feb</v>
      </c>
      <c r="P338" t="str">
        <f t="shared" si="26"/>
        <v>Monday</v>
      </c>
      <c r="Q338">
        <f t="shared" si="27"/>
        <v>1570.2528</v>
      </c>
      <c r="R338">
        <f t="shared" si="28"/>
        <v>1038.24</v>
      </c>
      <c r="S338">
        <f t="shared" si="29"/>
        <v>996.71039999999994</v>
      </c>
    </row>
    <row r="339" spans="1:19"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c r="O339" t="str">
        <f t="shared" si="25"/>
        <v>Apr</v>
      </c>
      <c r="P339" t="str">
        <f t="shared" si="26"/>
        <v>Friday</v>
      </c>
      <c r="Q339">
        <f t="shared" si="27"/>
        <v>6642.49</v>
      </c>
      <c r="R339">
        <f t="shared" si="28"/>
        <v>1704.9599999999991</v>
      </c>
      <c r="S339">
        <f t="shared" si="29"/>
        <v>1415.1167999999991</v>
      </c>
    </row>
    <row r="340" spans="1:19"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c r="O340" t="str">
        <f t="shared" si="25"/>
        <v>Apr</v>
      </c>
      <c r="P340" t="str">
        <f t="shared" si="26"/>
        <v>Sunday</v>
      </c>
      <c r="Q340">
        <f t="shared" si="27"/>
        <v>140013.59849999999</v>
      </c>
      <c r="R340">
        <f t="shared" si="28"/>
        <v>12199.500000000016</v>
      </c>
      <c r="S340">
        <f t="shared" si="29"/>
        <v>8905.6350000000111</v>
      </c>
    </row>
    <row r="341" spans="1:19"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c r="O341" t="str">
        <f t="shared" si="25"/>
        <v>Sep</v>
      </c>
      <c r="P341" t="str">
        <f t="shared" si="26"/>
        <v>Thursday</v>
      </c>
      <c r="Q341">
        <f t="shared" si="27"/>
        <v>32526.519999999997</v>
      </c>
      <c r="R341">
        <f t="shared" si="28"/>
        <v>6264.7000000000007</v>
      </c>
      <c r="S341">
        <f t="shared" si="29"/>
        <v>4447.9369999999999</v>
      </c>
    </row>
    <row r="342" spans="1:19" x14ac:dyDescent="0.3">
      <c r="A342">
        <v>1059</v>
      </c>
      <c r="B342" s="1">
        <v>45217</v>
      </c>
      <c r="C342" t="s">
        <v>42</v>
      </c>
      <c r="D342" t="s">
        <v>15</v>
      </c>
      <c r="E342">
        <v>5097.4799999999996</v>
      </c>
      <c r="F342">
        <v>28</v>
      </c>
      <c r="G342" t="s">
        <v>35</v>
      </c>
      <c r="H342">
        <v>224.32</v>
      </c>
      <c r="I342">
        <v>715.06</v>
      </c>
      <c r="J342" t="s">
        <v>17</v>
      </c>
      <c r="K342">
        <v>0.01</v>
      </c>
      <c r="L342" t="s">
        <v>31</v>
      </c>
      <c r="M342" t="s">
        <v>19</v>
      </c>
      <c r="N342" t="s">
        <v>49</v>
      </c>
      <c r="O342" t="str">
        <f t="shared" si="25"/>
        <v>Oct</v>
      </c>
      <c r="P342" t="str">
        <f t="shared" si="26"/>
        <v>Wednesday</v>
      </c>
      <c r="Q342">
        <f t="shared" si="27"/>
        <v>6218.1503999999995</v>
      </c>
      <c r="R342">
        <f t="shared" si="28"/>
        <v>13740.72</v>
      </c>
      <c r="S342">
        <f t="shared" si="29"/>
        <v>13603.3128</v>
      </c>
    </row>
    <row r="343" spans="1:19" x14ac:dyDescent="0.3">
      <c r="A343">
        <v>1086</v>
      </c>
      <c r="B343" s="1">
        <v>45022</v>
      </c>
      <c r="C343" t="s">
        <v>33</v>
      </c>
      <c r="D343" t="s">
        <v>21</v>
      </c>
      <c r="E343">
        <v>7212.69</v>
      </c>
      <c r="F343">
        <v>32</v>
      </c>
      <c r="G343" t="s">
        <v>35</v>
      </c>
      <c r="H343">
        <v>3743.59</v>
      </c>
      <c r="I343">
        <v>4116.38</v>
      </c>
      <c r="J343" t="s">
        <v>17</v>
      </c>
      <c r="K343">
        <v>0.11</v>
      </c>
      <c r="L343" t="s">
        <v>18</v>
      </c>
      <c r="M343" t="s">
        <v>19</v>
      </c>
      <c r="N343" t="s">
        <v>37</v>
      </c>
      <c r="O343" t="str">
        <f t="shared" si="25"/>
        <v>Apr</v>
      </c>
      <c r="P343" t="str">
        <f t="shared" si="26"/>
        <v>Thursday</v>
      </c>
      <c r="Q343">
        <f t="shared" si="27"/>
        <v>106617.44320000001</v>
      </c>
      <c r="R343">
        <f t="shared" si="28"/>
        <v>11929.279999999999</v>
      </c>
      <c r="S343">
        <f t="shared" si="29"/>
        <v>10617.0592</v>
      </c>
    </row>
    <row r="344" spans="1:19" x14ac:dyDescent="0.3">
      <c r="A344">
        <v>1022</v>
      </c>
      <c r="B344" s="1">
        <v>45014</v>
      </c>
      <c r="C344" t="s">
        <v>14</v>
      </c>
      <c r="D344" t="s">
        <v>21</v>
      </c>
      <c r="E344">
        <v>8640.14</v>
      </c>
      <c r="F344">
        <v>45</v>
      </c>
      <c r="G344" t="s">
        <v>16</v>
      </c>
      <c r="H344">
        <v>4020.09</v>
      </c>
      <c r="I344">
        <v>4087.91</v>
      </c>
      <c r="J344" t="s">
        <v>17</v>
      </c>
      <c r="K344">
        <v>0.06</v>
      </c>
      <c r="L344" t="s">
        <v>27</v>
      </c>
      <c r="M344" t="s">
        <v>19</v>
      </c>
      <c r="N344" t="s">
        <v>23</v>
      </c>
      <c r="O344" t="str">
        <f t="shared" si="25"/>
        <v>Mar</v>
      </c>
      <c r="P344" t="str">
        <f t="shared" si="26"/>
        <v>Wednesday</v>
      </c>
      <c r="Q344">
        <f t="shared" si="27"/>
        <v>170049.807</v>
      </c>
      <c r="R344">
        <f t="shared" si="28"/>
        <v>3051.8999999999869</v>
      </c>
      <c r="S344">
        <f t="shared" si="29"/>
        <v>2868.7859999999873</v>
      </c>
    </row>
    <row r="345" spans="1:19" x14ac:dyDescent="0.3">
      <c r="A345">
        <v>1030</v>
      </c>
      <c r="B345" s="1">
        <v>45004</v>
      </c>
      <c r="C345" t="s">
        <v>24</v>
      </c>
      <c r="D345" t="s">
        <v>34</v>
      </c>
      <c r="E345">
        <v>1874.63</v>
      </c>
      <c r="F345">
        <v>2</v>
      </c>
      <c r="G345" t="s">
        <v>29</v>
      </c>
      <c r="H345">
        <v>844.94</v>
      </c>
      <c r="I345">
        <v>1225.6400000000001</v>
      </c>
      <c r="J345" t="s">
        <v>17</v>
      </c>
      <c r="K345">
        <v>0.23</v>
      </c>
      <c r="L345" t="s">
        <v>31</v>
      </c>
      <c r="M345" t="s">
        <v>19</v>
      </c>
      <c r="N345" t="s">
        <v>50</v>
      </c>
      <c r="O345" t="str">
        <f t="shared" si="25"/>
        <v>Mar</v>
      </c>
      <c r="P345" t="str">
        <f t="shared" si="26"/>
        <v>Sunday</v>
      </c>
      <c r="Q345">
        <f t="shared" si="27"/>
        <v>1301.2076000000002</v>
      </c>
      <c r="R345">
        <f t="shared" si="28"/>
        <v>761.40000000000009</v>
      </c>
      <c r="S345">
        <f t="shared" si="29"/>
        <v>586.27800000000013</v>
      </c>
    </row>
    <row r="346" spans="1:19" x14ac:dyDescent="0.3">
      <c r="A346">
        <v>1038</v>
      </c>
      <c r="B346" s="1">
        <v>45214</v>
      </c>
      <c r="C346" t="s">
        <v>24</v>
      </c>
      <c r="D346" t="s">
        <v>21</v>
      </c>
      <c r="E346">
        <v>8020.03</v>
      </c>
      <c r="F346">
        <v>31</v>
      </c>
      <c r="G346" t="s">
        <v>29</v>
      </c>
      <c r="H346">
        <v>2709.84</v>
      </c>
      <c r="I346">
        <v>2766.51</v>
      </c>
      <c r="J346" t="s">
        <v>30</v>
      </c>
      <c r="K346">
        <v>0.19</v>
      </c>
      <c r="L346" t="s">
        <v>18</v>
      </c>
      <c r="M346" t="s">
        <v>22</v>
      </c>
      <c r="N346" t="s">
        <v>47</v>
      </c>
      <c r="O346" t="str">
        <f t="shared" si="25"/>
        <v>Oct</v>
      </c>
      <c r="P346" t="str">
        <f t="shared" si="26"/>
        <v>Sunday</v>
      </c>
      <c r="Q346">
        <f t="shared" si="27"/>
        <v>68044.082400000014</v>
      </c>
      <c r="R346">
        <f t="shared" si="28"/>
        <v>1756.7700000000023</v>
      </c>
      <c r="S346">
        <f t="shared" si="29"/>
        <v>1422.9837000000018</v>
      </c>
    </row>
    <row r="347" spans="1:19" x14ac:dyDescent="0.3">
      <c r="A347">
        <v>1051</v>
      </c>
      <c r="B347" s="1">
        <v>45046</v>
      </c>
      <c r="C347" t="s">
        <v>14</v>
      </c>
      <c r="D347" t="s">
        <v>21</v>
      </c>
      <c r="E347">
        <v>5571.8</v>
      </c>
      <c r="F347">
        <v>3</v>
      </c>
      <c r="G347" t="s">
        <v>26</v>
      </c>
      <c r="H347">
        <v>1000.18</v>
      </c>
      <c r="I347">
        <v>1023.64</v>
      </c>
      <c r="J347" t="s">
        <v>17</v>
      </c>
      <c r="K347">
        <v>0.04</v>
      </c>
      <c r="L347" t="s">
        <v>31</v>
      </c>
      <c r="M347" t="s">
        <v>19</v>
      </c>
      <c r="N347" t="s">
        <v>23</v>
      </c>
      <c r="O347" t="str">
        <f t="shared" si="25"/>
        <v>Apr</v>
      </c>
      <c r="P347" t="str">
        <f t="shared" si="26"/>
        <v>Sunday</v>
      </c>
      <c r="Q347">
        <f t="shared" si="27"/>
        <v>2880.5183999999999</v>
      </c>
      <c r="R347">
        <f t="shared" si="28"/>
        <v>70.380000000000109</v>
      </c>
      <c r="S347">
        <f t="shared" si="29"/>
        <v>67.564800000000105</v>
      </c>
    </row>
    <row r="348" spans="1:19" x14ac:dyDescent="0.3">
      <c r="A348">
        <v>1054</v>
      </c>
      <c r="B348" s="1">
        <v>45228</v>
      </c>
      <c r="C348" t="s">
        <v>24</v>
      </c>
      <c r="D348" t="s">
        <v>21</v>
      </c>
      <c r="E348">
        <v>4025.88</v>
      </c>
      <c r="F348">
        <v>8</v>
      </c>
      <c r="G348" t="s">
        <v>29</v>
      </c>
      <c r="H348">
        <v>3610.21</v>
      </c>
      <c r="I348">
        <v>3817.99</v>
      </c>
      <c r="J348" t="s">
        <v>17</v>
      </c>
      <c r="K348">
        <v>0.15</v>
      </c>
      <c r="L348" t="s">
        <v>18</v>
      </c>
      <c r="M348" t="s">
        <v>22</v>
      </c>
      <c r="N348" t="s">
        <v>47</v>
      </c>
      <c r="O348" t="str">
        <f t="shared" si="25"/>
        <v>Oct</v>
      </c>
      <c r="P348" t="str">
        <f t="shared" si="26"/>
        <v>Sunday</v>
      </c>
      <c r="Q348">
        <f t="shared" si="27"/>
        <v>24549.428</v>
      </c>
      <c r="R348">
        <f t="shared" si="28"/>
        <v>1662.239999999998</v>
      </c>
      <c r="S348">
        <f t="shared" si="29"/>
        <v>1412.9039999999982</v>
      </c>
    </row>
    <row r="349" spans="1:19" x14ac:dyDescent="0.3">
      <c r="A349">
        <v>1008</v>
      </c>
      <c r="B349" s="1">
        <v>45091</v>
      </c>
      <c r="C349" t="s">
        <v>38</v>
      </c>
      <c r="D349" t="s">
        <v>15</v>
      </c>
      <c r="E349">
        <v>1403.98</v>
      </c>
      <c r="F349">
        <v>24</v>
      </c>
      <c r="G349" t="s">
        <v>29</v>
      </c>
      <c r="H349">
        <v>1394.17</v>
      </c>
      <c r="I349">
        <v>1891.02</v>
      </c>
      <c r="J349" t="s">
        <v>30</v>
      </c>
      <c r="K349">
        <v>0.21</v>
      </c>
      <c r="L349" t="s">
        <v>31</v>
      </c>
      <c r="M349" t="s">
        <v>19</v>
      </c>
      <c r="N349" t="s">
        <v>40</v>
      </c>
      <c r="O349" t="str">
        <f t="shared" si="25"/>
        <v>Jun</v>
      </c>
      <c r="P349" t="str">
        <f t="shared" si="26"/>
        <v>Wednesday</v>
      </c>
      <c r="Q349">
        <f t="shared" si="27"/>
        <v>26433.463200000002</v>
      </c>
      <c r="R349">
        <f t="shared" si="28"/>
        <v>11924.399999999998</v>
      </c>
      <c r="S349">
        <f t="shared" si="29"/>
        <v>9420.275999999998</v>
      </c>
    </row>
    <row r="350" spans="1:19" x14ac:dyDescent="0.3">
      <c r="A350">
        <v>1027</v>
      </c>
      <c r="B350" s="1">
        <v>45108</v>
      </c>
      <c r="C350" t="s">
        <v>38</v>
      </c>
      <c r="D350" t="s">
        <v>15</v>
      </c>
      <c r="E350">
        <v>8666.43</v>
      </c>
      <c r="F350">
        <v>15</v>
      </c>
      <c r="G350" t="s">
        <v>29</v>
      </c>
      <c r="H350">
        <v>1615.26</v>
      </c>
      <c r="I350">
        <v>1710.95</v>
      </c>
      <c r="J350" t="s">
        <v>30</v>
      </c>
      <c r="K350">
        <v>0.23</v>
      </c>
      <c r="L350" t="s">
        <v>31</v>
      </c>
      <c r="M350" t="s">
        <v>22</v>
      </c>
      <c r="N350" t="s">
        <v>40</v>
      </c>
      <c r="O350" t="str">
        <f t="shared" si="25"/>
        <v>Jul</v>
      </c>
      <c r="P350" t="str">
        <f t="shared" si="26"/>
        <v>Saturday</v>
      </c>
      <c r="Q350">
        <f t="shared" si="27"/>
        <v>18656.253000000001</v>
      </c>
      <c r="R350">
        <f t="shared" si="28"/>
        <v>1435.3500000000008</v>
      </c>
      <c r="S350">
        <f t="shared" si="29"/>
        <v>1105.2195000000006</v>
      </c>
    </row>
    <row r="351" spans="1:19" x14ac:dyDescent="0.3">
      <c r="A351">
        <v>1027</v>
      </c>
      <c r="B351" s="1">
        <v>45149</v>
      </c>
      <c r="C351" t="s">
        <v>38</v>
      </c>
      <c r="D351" t="s">
        <v>15</v>
      </c>
      <c r="E351">
        <v>1657</v>
      </c>
      <c r="F351">
        <v>43</v>
      </c>
      <c r="G351" t="s">
        <v>29</v>
      </c>
      <c r="H351">
        <v>4232.6099999999997</v>
      </c>
      <c r="I351">
        <v>4572.21</v>
      </c>
      <c r="J351" t="s">
        <v>30</v>
      </c>
      <c r="K351">
        <v>0.01</v>
      </c>
      <c r="L351" t="s">
        <v>18</v>
      </c>
      <c r="M351" t="s">
        <v>22</v>
      </c>
      <c r="N351" t="s">
        <v>40</v>
      </c>
      <c r="O351" t="str">
        <f t="shared" si="25"/>
        <v>Aug</v>
      </c>
      <c r="P351" t="str">
        <f t="shared" si="26"/>
        <v>Friday</v>
      </c>
      <c r="Q351">
        <f t="shared" si="27"/>
        <v>180182.20769999997</v>
      </c>
      <c r="R351">
        <f t="shared" si="28"/>
        <v>14602.800000000016</v>
      </c>
      <c r="S351">
        <f t="shared" si="29"/>
        <v>14456.772000000015</v>
      </c>
    </row>
    <row r="352" spans="1:19"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c r="O352" t="str">
        <f t="shared" si="25"/>
        <v>Nov</v>
      </c>
      <c r="P352" t="str">
        <f t="shared" si="26"/>
        <v>Tuesday</v>
      </c>
      <c r="Q352">
        <f t="shared" si="27"/>
        <v>54488.514000000003</v>
      </c>
      <c r="R352">
        <f t="shared" si="28"/>
        <v>2943.7600000000011</v>
      </c>
      <c r="S352">
        <f t="shared" si="29"/>
        <v>2148.9448000000007</v>
      </c>
    </row>
    <row r="353" spans="1:19" x14ac:dyDescent="0.3">
      <c r="A353">
        <v>1021</v>
      </c>
      <c r="B353" s="1">
        <v>44933</v>
      </c>
      <c r="C353" t="s">
        <v>14</v>
      </c>
      <c r="D353" t="s">
        <v>15</v>
      </c>
      <c r="E353">
        <v>2971.45</v>
      </c>
      <c r="F353">
        <v>9</v>
      </c>
      <c r="G353" t="s">
        <v>16</v>
      </c>
      <c r="H353">
        <v>3365.28</v>
      </c>
      <c r="I353">
        <v>3730.43</v>
      </c>
      <c r="J353" t="s">
        <v>30</v>
      </c>
      <c r="K353">
        <v>0.17</v>
      </c>
      <c r="L353" t="s">
        <v>27</v>
      </c>
      <c r="M353" t="s">
        <v>19</v>
      </c>
      <c r="N353" t="s">
        <v>20</v>
      </c>
      <c r="O353" t="str">
        <f t="shared" si="25"/>
        <v>Jan</v>
      </c>
      <c r="P353" t="str">
        <f t="shared" si="26"/>
        <v>Saturday</v>
      </c>
      <c r="Q353">
        <f t="shared" si="27"/>
        <v>25138.641599999999</v>
      </c>
      <c r="R353">
        <f t="shared" si="28"/>
        <v>3286.3499999999967</v>
      </c>
      <c r="S353">
        <f t="shared" si="29"/>
        <v>2727.670499999997</v>
      </c>
    </row>
    <row r="354" spans="1:19" x14ac:dyDescent="0.3">
      <c r="A354">
        <v>1030</v>
      </c>
      <c r="B354" s="1">
        <v>45256</v>
      </c>
      <c r="C354" t="s">
        <v>42</v>
      </c>
      <c r="D354" t="s">
        <v>21</v>
      </c>
      <c r="E354">
        <v>8727</v>
      </c>
      <c r="F354">
        <v>39</v>
      </c>
      <c r="G354" t="s">
        <v>35</v>
      </c>
      <c r="H354">
        <v>2041.75</v>
      </c>
      <c r="I354">
        <v>2299.37</v>
      </c>
      <c r="J354" t="s">
        <v>17</v>
      </c>
      <c r="K354">
        <v>0.24</v>
      </c>
      <c r="L354" t="s">
        <v>27</v>
      </c>
      <c r="M354" t="s">
        <v>22</v>
      </c>
      <c r="N354" t="s">
        <v>51</v>
      </c>
      <c r="O354" t="str">
        <f t="shared" si="25"/>
        <v>Nov</v>
      </c>
      <c r="P354" t="str">
        <f t="shared" si="26"/>
        <v>Sunday</v>
      </c>
      <c r="Q354">
        <f t="shared" si="27"/>
        <v>60517.47</v>
      </c>
      <c r="R354">
        <f t="shared" si="28"/>
        <v>10047.179999999997</v>
      </c>
      <c r="S354">
        <f t="shared" si="29"/>
        <v>7635.8567999999977</v>
      </c>
    </row>
    <row r="355" spans="1:19" x14ac:dyDescent="0.3">
      <c r="A355">
        <v>1097</v>
      </c>
      <c r="B355" s="1">
        <v>45189</v>
      </c>
      <c r="C355" t="s">
        <v>24</v>
      </c>
      <c r="D355" t="s">
        <v>15</v>
      </c>
      <c r="E355">
        <v>6759.76</v>
      </c>
      <c r="F355">
        <v>45</v>
      </c>
      <c r="G355" t="s">
        <v>29</v>
      </c>
      <c r="H355">
        <v>1525.13</v>
      </c>
      <c r="I355">
        <v>1868.32</v>
      </c>
      <c r="J355" t="s">
        <v>17</v>
      </c>
      <c r="K355">
        <v>0.24</v>
      </c>
      <c r="L355" t="s">
        <v>18</v>
      </c>
      <c r="M355" t="s">
        <v>22</v>
      </c>
      <c r="N355" t="s">
        <v>45</v>
      </c>
      <c r="O355" t="str">
        <f t="shared" si="25"/>
        <v>Sep</v>
      </c>
      <c r="P355" t="str">
        <f t="shared" si="26"/>
        <v>Wednesday</v>
      </c>
      <c r="Q355">
        <f t="shared" si="27"/>
        <v>52159.446000000004</v>
      </c>
      <c r="R355">
        <f t="shared" si="28"/>
        <v>15443.549999999992</v>
      </c>
      <c r="S355">
        <f t="shared" si="29"/>
        <v>11737.097999999994</v>
      </c>
    </row>
    <row r="356" spans="1:19"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c r="O356" t="str">
        <f t="shared" si="25"/>
        <v>Jun</v>
      </c>
      <c r="P356" t="str">
        <f t="shared" si="26"/>
        <v>Saturday</v>
      </c>
      <c r="Q356">
        <f t="shared" si="27"/>
        <v>5914.7055999999993</v>
      </c>
      <c r="R356">
        <f t="shared" si="28"/>
        <v>218.81999999998061</v>
      </c>
      <c r="S356">
        <f t="shared" si="29"/>
        <v>205.69079999998175</v>
      </c>
    </row>
    <row r="357" spans="1:19" x14ac:dyDescent="0.3">
      <c r="A357">
        <v>1064</v>
      </c>
      <c r="B357" s="1">
        <v>45077</v>
      </c>
      <c r="C357" t="s">
        <v>24</v>
      </c>
      <c r="D357" t="s">
        <v>25</v>
      </c>
      <c r="E357">
        <v>2579.63</v>
      </c>
      <c r="F357">
        <v>8</v>
      </c>
      <c r="G357" t="s">
        <v>29</v>
      </c>
      <c r="H357">
        <v>816.54</v>
      </c>
      <c r="I357">
        <v>1191.9000000000001</v>
      </c>
      <c r="J357" t="s">
        <v>30</v>
      </c>
      <c r="K357">
        <v>0.03</v>
      </c>
      <c r="L357" t="s">
        <v>18</v>
      </c>
      <c r="M357" t="s">
        <v>22</v>
      </c>
      <c r="N357" t="s">
        <v>28</v>
      </c>
      <c r="O357" t="str">
        <f t="shared" si="25"/>
        <v>May</v>
      </c>
      <c r="P357" t="str">
        <f t="shared" si="26"/>
        <v>Wednesday</v>
      </c>
      <c r="Q357">
        <f t="shared" si="27"/>
        <v>6336.3503999999994</v>
      </c>
      <c r="R357">
        <f t="shared" si="28"/>
        <v>3002.880000000001</v>
      </c>
      <c r="S357">
        <f t="shared" si="29"/>
        <v>2912.7936000000009</v>
      </c>
    </row>
    <row r="358" spans="1:19"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c r="O358" t="str">
        <f t="shared" si="25"/>
        <v>Mar</v>
      </c>
      <c r="P358" t="str">
        <f t="shared" si="26"/>
        <v>Sunday</v>
      </c>
      <c r="Q358">
        <f t="shared" si="27"/>
        <v>10354.071</v>
      </c>
      <c r="R358">
        <f t="shared" si="28"/>
        <v>3484.9499999999994</v>
      </c>
      <c r="S358">
        <f t="shared" si="29"/>
        <v>2718.2609999999995</v>
      </c>
    </row>
    <row r="359" spans="1:19" x14ac:dyDescent="0.3">
      <c r="A359">
        <v>1069</v>
      </c>
      <c r="B359" s="1">
        <v>45073</v>
      </c>
      <c r="C359" t="s">
        <v>33</v>
      </c>
      <c r="D359" t="s">
        <v>21</v>
      </c>
      <c r="E359">
        <v>5760.29</v>
      </c>
      <c r="F359">
        <v>44</v>
      </c>
      <c r="G359" t="s">
        <v>35</v>
      </c>
      <c r="H359">
        <v>1084.73</v>
      </c>
      <c r="I359">
        <v>1420.9</v>
      </c>
      <c r="J359" t="s">
        <v>17</v>
      </c>
      <c r="K359">
        <v>0.05</v>
      </c>
      <c r="L359" t="s">
        <v>31</v>
      </c>
      <c r="M359" t="s">
        <v>19</v>
      </c>
      <c r="N359" t="s">
        <v>37</v>
      </c>
      <c r="O359" t="str">
        <f t="shared" si="25"/>
        <v>May</v>
      </c>
      <c r="P359" t="str">
        <f t="shared" si="26"/>
        <v>Saturday</v>
      </c>
      <c r="Q359">
        <f t="shared" si="27"/>
        <v>45341.714</v>
      </c>
      <c r="R359">
        <f t="shared" si="28"/>
        <v>14791.480000000003</v>
      </c>
      <c r="S359">
        <f t="shared" si="29"/>
        <v>14051.906000000003</v>
      </c>
    </row>
    <row r="360" spans="1:19" x14ac:dyDescent="0.3">
      <c r="A360">
        <v>1061</v>
      </c>
      <c r="B360" s="1">
        <v>45038</v>
      </c>
      <c r="C360" t="s">
        <v>38</v>
      </c>
      <c r="D360" t="s">
        <v>25</v>
      </c>
      <c r="E360">
        <v>8345.02</v>
      </c>
      <c r="F360">
        <v>39</v>
      </c>
      <c r="G360" t="s">
        <v>35</v>
      </c>
      <c r="H360">
        <v>3494.19</v>
      </c>
      <c r="I360">
        <v>3746</v>
      </c>
      <c r="J360" t="s">
        <v>17</v>
      </c>
      <c r="K360">
        <v>0.25</v>
      </c>
      <c r="L360" t="s">
        <v>27</v>
      </c>
      <c r="M360" t="s">
        <v>22</v>
      </c>
      <c r="N360" t="s">
        <v>39</v>
      </c>
      <c r="O360" t="str">
        <f t="shared" si="25"/>
        <v>Apr</v>
      </c>
      <c r="P360" t="str">
        <f t="shared" si="26"/>
        <v>Saturday</v>
      </c>
      <c r="Q360">
        <f t="shared" si="27"/>
        <v>102205.0575</v>
      </c>
      <c r="R360">
        <f t="shared" si="28"/>
        <v>9820.5899999999983</v>
      </c>
      <c r="S360">
        <f t="shared" si="29"/>
        <v>7365.4424999999992</v>
      </c>
    </row>
    <row r="361" spans="1:19"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c r="O361" t="str">
        <f t="shared" si="25"/>
        <v>Feb</v>
      </c>
      <c r="P361" t="str">
        <f t="shared" si="26"/>
        <v>Sunday</v>
      </c>
      <c r="Q361">
        <f t="shared" si="27"/>
        <v>154752.67079999999</v>
      </c>
      <c r="R361">
        <f t="shared" si="28"/>
        <v>19419.119999999988</v>
      </c>
      <c r="S361">
        <f t="shared" si="29"/>
        <v>15146.913599999991</v>
      </c>
    </row>
    <row r="362" spans="1:19" x14ac:dyDescent="0.3">
      <c r="A362">
        <v>1019</v>
      </c>
      <c r="B362" s="1">
        <v>45211</v>
      </c>
      <c r="C362" t="s">
        <v>33</v>
      </c>
      <c r="D362" t="s">
        <v>21</v>
      </c>
      <c r="E362">
        <v>220.35</v>
      </c>
      <c r="F362">
        <v>16</v>
      </c>
      <c r="G362" t="s">
        <v>29</v>
      </c>
      <c r="H362">
        <v>4977.78</v>
      </c>
      <c r="I362">
        <v>4995.55</v>
      </c>
      <c r="J362" t="s">
        <v>30</v>
      </c>
      <c r="K362">
        <v>0.25</v>
      </c>
      <c r="L362" t="s">
        <v>31</v>
      </c>
      <c r="M362" t="s">
        <v>19</v>
      </c>
      <c r="N362" t="s">
        <v>37</v>
      </c>
      <c r="O362" t="str">
        <f t="shared" si="25"/>
        <v>Oct</v>
      </c>
      <c r="P362" t="str">
        <f t="shared" si="26"/>
        <v>Thursday</v>
      </c>
      <c r="Q362">
        <f t="shared" si="27"/>
        <v>59733.36</v>
      </c>
      <c r="R362">
        <f t="shared" si="28"/>
        <v>284.32000000000698</v>
      </c>
      <c r="S362">
        <f t="shared" si="29"/>
        <v>213.24000000000524</v>
      </c>
    </row>
    <row r="363" spans="1:19"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c r="O363" t="str">
        <f t="shared" si="25"/>
        <v>Jul</v>
      </c>
      <c r="P363" t="str">
        <f t="shared" si="26"/>
        <v>Friday</v>
      </c>
      <c r="Q363">
        <f t="shared" si="27"/>
        <v>72582.0095</v>
      </c>
      <c r="R363">
        <f t="shared" si="28"/>
        <v>12868.09999999966</v>
      </c>
      <c r="S363">
        <f t="shared" si="29"/>
        <v>11709.97099999969</v>
      </c>
    </row>
    <row r="364" spans="1:19"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c r="O364" t="str">
        <f t="shared" si="25"/>
        <v>Mar</v>
      </c>
      <c r="P364" t="str">
        <f t="shared" si="26"/>
        <v>Thursday</v>
      </c>
      <c r="Q364">
        <f t="shared" si="27"/>
        <v>35490.819000000003</v>
      </c>
      <c r="R364">
        <f t="shared" si="28"/>
        <v>13364.7</v>
      </c>
      <c r="S364">
        <f t="shared" si="29"/>
        <v>12161.877</v>
      </c>
    </row>
    <row r="365" spans="1:19" x14ac:dyDescent="0.3">
      <c r="A365">
        <v>1064</v>
      </c>
      <c r="B365" s="1">
        <v>44928</v>
      </c>
      <c r="C365" t="s">
        <v>24</v>
      </c>
      <c r="D365" t="s">
        <v>25</v>
      </c>
      <c r="E365">
        <v>5533.7</v>
      </c>
      <c r="F365">
        <v>10</v>
      </c>
      <c r="G365" t="s">
        <v>35</v>
      </c>
      <c r="H365">
        <v>2242.0100000000002</v>
      </c>
      <c r="I365">
        <v>2282.23</v>
      </c>
      <c r="J365" t="s">
        <v>17</v>
      </c>
      <c r="K365">
        <v>0.2</v>
      </c>
      <c r="L365" t="s">
        <v>31</v>
      </c>
      <c r="M365" t="s">
        <v>19</v>
      </c>
      <c r="N365" t="s">
        <v>28</v>
      </c>
      <c r="O365" t="str">
        <f t="shared" si="25"/>
        <v>Jan</v>
      </c>
      <c r="P365" t="str">
        <f t="shared" si="26"/>
        <v>Monday</v>
      </c>
      <c r="Q365">
        <f t="shared" si="27"/>
        <v>17936.080000000002</v>
      </c>
      <c r="R365">
        <f t="shared" si="28"/>
        <v>402.199999999998</v>
      </c>
      <c r="S365">
        <f t="shared" si="29"/>
        <v>321.7599999999984</v>
      </c>
    </row>
    <row r="366" spans="1:19"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c r="O366" t="str">
        <f t="shared" si="25"/>
        <v>Oct</v>
      </c>
      <c r="P366" t="str">
        <f t="shared" si="26"/>
        <v>Monday</v>
      </c>
      <c r="Q366">
        <f t="shared" si="27"/>
        <v>159658.5276</v>
      </c>
      <c r="R366">
        <f t="shared" si="28"/>
        <v>8760.1399999996447</v>
      </c>
      <c r="S366">
        <f t="shared" si="29"/>
        <v>8672.5385999996488</v>
      </c>
    </row>
    <row r="367" spans="1:19" x14ac:dyDescent="0.3">
      <c r="A367">
        <v>1017</v>
      </c>
      <c r="B367" s="1">
        <v>45123</v>
      </c>
      <c r="C367" t="s">
        <v>42</v>
      </c>
      <c r="D367" t="s">
        <v>25</v>
      </c>
      <c r="E367">
        <v>3137.09</v>
      </c>
      <c r="F367">
        <v>18</v>
      </c>
      <c r="G367" t="s">
        <v>16</v>
      </c>
      <c r="H367">
        <v>1069.73</v>
      </c>
      <c r="I367">
        <v>1180.04</v>
      </c>
      <c r="J367" t="s">
        <v>17</v>
      </c>
      <c r="K367">
        <v>0.22</v>
      </c>
      <c r="L367" t="s">
        <v>27</v>
      </c>
      <c r="M367" t="s">
        <v>19</v>
      </c>
      <c r="N367" t="s">
        <v>43</v>
      </c>
      <c r="O367" t="str">
        <f t="shared" si="25"/>
        <v>Jul</v>
      </c>
      <c r="P367" t="str">
        <f t="shared" si="26"/>
        <v>Sunday</v>
      </c>
      <c r="Q367">
        <f t="shared" si="27"/>
        <v>15019.0092</v>
      </c>
      <c r="R367">
        <f t="shared" si="28"/>
        <v>1985.579999999999</v>
      </c>
      <c r="S367">
        <f t="shared" si="29"/>
        <v>1548.7523999999994</v>
      </c>
    </row>
    <row r="368" spans="1:19" x14ac:dyDescent="0.3">
      <c r="A368">
        <v>1044</v>
      </c>
      <c r="B368" s="1">
        <v>44937</v>
      </c>
      <c r="C368" t="s">
        <v>38</v>
      </c>
      <c r="D368" t="s">
        <v>15</v>
      </c>
      <c r="E368">
        <v>3594.29</v>
      </c>
      <c r="F368">
        <v>5</v>
      </c>
      <c r="G368" t="s">
        <v>26</v>
      </c>
      <c r="H368">
        <v>4762.87</v>
      </c>
      <c r="I368">
        <v>5050.46</v>
      </c>
      <c r="J368" t="s">
        <v>30</v>
      </c>
      <c r="K368">
        <v>0.25</v>
      </c>
      <c r="L368" t="s">
        <v>18</v>
      </c>
      <c r="M368" t="s">
        <v>22</v>
      </c>
      <c r="N368" t="s">
        <v>40</v>
      </c>
      <c r="O368" t="str">
        <f t="shared" si="25"/>
        <v>Jan</v>
      </c>
      <c r="P368" t="str">
        <f t="shared" si="26"/>
        <v>Wednesday</v>
      </c>
      <c r="Q368">
        <f t="shared" si="27"/>
        <v>17860.762499999997</v>
      </c>
      <c r="R368">
        <f t="shared" si="28"/>
        <v>1437.9500000000007</v>
      </c>
      <c r="S368">
        <f t="shared" si="29"/>
        <v>1078.4625000000005</v>
      </c>
    </row>
    <row r="369" spans="1:19" x14ac:dyDescent="0.3">
      <c r="A369">
        <v>1092</v>
      </c>
      <c r="B369" s="1">
        <v>45160</v>
      </c>
      <c r="C369" t="s">
        <v>24</v>
      </c>
      <c r="D369" t="s">
        <v>34</v>
      </c>
      <c r="E369">
        <v>6250.8</v>
      </c>
      <c r="F369">
        <v>29</v>
      </c>
      <c r="G369" t="s">
        <v>29</v>
      </c>
      <c r="H369">
        <v>1742.24</v>
      </c>
      <c r="I369">
        <v>2070.52</v>
      </c>
      <c r="J369" t="s">
        <v>30</v>
      </c>
      <c r="K369">
        <v>0.12</v>
      </c>
      <c r="L369" t="s">
        <v>18</v>
      </c>
      <c r="M369" t="s">
        <v>19</v>
      </c>
      <c r="N369" t="s">
        <v>50</v>
      </c>
      <c r="O369" t="str">
        <f t="shared" si="25"/>
        <v>Aug</v>
      </c>
      <c r="P369" t="str">
        <f t="shared" si="26"/>
        <v>Tuesday</v>
      </c>
      <c r="Q369">
        <f t="shared" si="27"/>
        <v>44461.964800000002</v>
      </c>
      <c r="R369">
        <f t="shared" si="28"/>
        <v>9520.119999999999</v>
      </c>
      <c r="S369">
        <f t="shared" si="29"/>
        <v>8377.7055999999993</v>
      </c>
    </row>
    <row r="370" spans="1:19"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c r="O370" t="str">
        <f t="shared" si="25"/>
        <v>Jul</v>
      </c>
      <c r="P370" t="str">
        <f t="shared" si="26"/>
        <v>Friday</v>
      </c>
      <c r="Q370">
        <f t="shared" si="27"/>
        <v>148039.79189999998</v>
      </c>
      <c r="R370">
        <f t="shared" si="28"/>
        <v>6173.3099999996439</v>
      </c>
      <c r="S370">
        <f t="shared" si="29"/>
        <v>4753.4486999997262</v>
      </c>
    </row>
    <row r="371" spans="1:19"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c r="O371" t="str">
        <f t="shared" si="25"/>
        <v>Apr</v>
      </c>
      <c r="P371" t="str">
        <f t="shared" si="26"/>
        <v>Saturday</v>
      </c>
      <c r="Q371">
        <f t="shared" si="27"/>
        <v>135695.85299999997</v>
      </c>
      <c r="R371">
        <f t="shared" si="28"/>
        <v>8003.2600000000111</v>
      </c>
      <c r="S371">
        <f t="shared" si="29"/>
        <v>7603.0970000000107</v>
      </c>
    </row>
    <row r="372" spans="1:19" x14ac:dyDescent="0.3">
      <c r="A372">
        <v>1046</v>
      </c>
      <c r="B372" s="1">
        <v>44946</v>
      </c>
      <c r="C372" t="s">
        <v>38</v>
      </c>
      <c r="D372" t="s">
        <v>34</v>
      </c>
      <c r="E372">
        <v>4104.82</v>
      </c>
      <c r="F372">
        <v>43</v>
      </c>
      <c r="G372" t="s">
        <v>29</v>
      </c>
      <c r="H372">
        <v>4052.42</v>
      </c>
      <c r="I372">
        <v>4199.3</v>
      </c>
      <c r="J372" t="s">
        <v>30</v>
      </c>
      <c r="K372">
        <v>0.1</v>
      </c>
      <c r="L372" t="s">
        <v>27</v>
      </c>
      <c r="M372" t="s">
        <v>22</v>
      </c>
      <c r="N372" t="s">
        <v>48</v>
      </c>
      <c r="O372" t="str">
        <f t="shared" si="25"/>
        <v>Jan</v>
      </c>
      <c r="P372" t="str">
        <f t="shared" si="26"/>
        <v>Friday</v>
      </c>
      <c r="Q372">
        <f t="shared" si="27"/>
        <v>156828.65400000001</v>
      </c>
      <c r="R372">
        <f t="shared" si="28"/>
        <v>6315.8400000000047</v>
      </c>
      <c r="S372">
        <f t="shared" si="29"/>
        <v>5684.256000000004</v>
      </c>
    </row>
    <row r="373" spans="1:19"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c r="O373" t="str">
        <f t="shared" si="25"/>
        <v>Sep</v>
      </c>
      <c r="P373" t="str">
        <f t="shared" si="26"/>
        <v>Monday</v>
      </c>
      <c r="Q373">
        <f t="shared" si="27"/>
        <v>51874.978500000005</v>
      </c>
      <c r="R373">
        <f t="shared" si="28"/>
        <v>8595</v>
      </c>
      <c r="S373">
        <f t="shared" si="29"/>
        <v>6102.45</v>
      </c>
    </row>
    <row r="374" spans="1:19" x14ac:dyDescent="0.3">
      <c r="A374">
        <v>1099</v>
      </c>
      <c r="B374" s="1">
        <v>45219</v>
      </c>
      <c r="C374" t="s">
        <v>24</v>
      </c>
      <c r="D374" t="s">
        <v>25</v>
      </c>
      <c r="E374">
        <v>7859.22</v>
      </c>
      <c r="F374">
        <v>23</v>
      </c>
      <c r="G374" t="s">
        <v>29</v>
      </c>
      <c r="H374">
        <v>93.45</v>
      </c>
      <c r="I374">
        <v>181.62</v>
      </c>
      <c r="J374" t="s">
        <v>17</v>
      </c>
      <c r="K374">
        <v>0.3</v>
      </c>
      <c r="L374" t="s">
        <v>27</v>
      </c>
      <c r="M374" t="s">
        <v>22</v>
      </c>
      <c r="N374" t="s">
        <v>28</v>
      </c>
      <c r="O374" t="str">
        <f t="shared" si="25"/>
        <v>Oct</v>
      </c>
      <c r="P374" t="str">
        <f t="shared" si="26"/>
        <v>Friday</v>
      </c>
      <c r="Q374">
        <f t="shared" si="27"/>
        <v>1504.5449999999998</v>
      </c>
      <c r="R374">
        <f t="shared" si="28"/>
        <v>2027.91</v>
      </c>
      <c r="S374">
        <f t="shared" si="29"/>
        <v>1419.537</v>
      </c>
    </row>
    <row r="375" spans="1:19" x14ac:dyDescent="0.3">
      <c r="A375">
        <v>1037</v>
      </c>
      <c r="B375" s="1">
        <v>45182</v>
      </c>
      <c r="C375" t="s">
        <v>14</v>
      </c>
      <c r="D375" t="s">
        <v>25</v>
      </c>
      <c r="E375">
        <v>2929.01</v>
      </c>
      <c r="F375">
        <v>5</v>
      </c>
      <c r="G375" t="s">
        <v>16</v>
      </c>
      <c r="H375">
        <v>1941.56</v>
      </c>
      <c r="I375">
        <v>2385.48</v>
      </c>
      <c r="J375" t="s">
        <v>17</v>
      </c>
      <c r="K375">
        <v>0.15</v>
      </c>
      <c r="L375" t="s">
        <v>31</v>
      </c>
      <c r="M375" t="s">
        <v>19</v>
      </c>
      <c r="N375" t="s">
        <v>32</v>
      </c>
      <c r="O375" t="str">
        <f t="shared" si="25"/>
        <v>Sep</v>
      </c>
      <c r="P375" t="str">
        <f t="shared" si="26"/>
        <v>Wednesday</v>
      </c>
      <c r="Q375">
        <f t="shared" si="27"/>
        <v>8251.6299999999992</v>
      </c>
      <c r="R375">
        <f t="shared" si="28"/>
        <v>2219.6000000000004</v>
      </c>
      <c r="S375">
        <f t="shared" si="29"/>
        <v>1886.6600000000003</v>
      </c>
    </row>
    <row r="376" spans="1:19"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c r="O376" t="str">
        <f t="shared" si="25"/>
        <v>Aug</v>
      </c>
      <c r="P376" t="str">
        <f t="shared" si="26"/>
        <v>Thursday</v>
      </c>
      <c r="Q376">
        <f t="shared" si="27"/>
        <v>33349.536</v>
      </c>
      <c r="R376">
        <f t="shared" si="28"/>
        <v>447.29999999999563</v>
      </c>
      <c r="S376">
        <f t="shared" si="29"/>
        <v>322.05599999999686</v>
      </c>
    </row>
    <row r="377" spans="1:19" x14ac:dyDescent="0.3">
      <c r="A377">
        <v>1093</v>
      </c>
      <c r="B377" s="1">
        <v>45152</v>
      </c>
      <c r="C377" t="s">
        <v>24</v>
      </c>
      <c r="D377" t="s">
        <v>21</v>
      </c>
      <c r="E377">
        <v>6885.89</v>
      </c>
      <c r="F377">
        <v>6</v>
      </c>
      <c r="G377" t="s">
        <v>26</v>
      </c>
      <c r="H377">
        <v>235.12</v>
      </c>
      <c r="I377">
        <v>677.5</v>
      </c>
      <c r="J377" t="s">
        <v>17</v>
      </c>
      <c r="K377">
        <v>0.16</v>
      </c>
      <c r="L377" t="s">
        <v>31</v>
      </c>
      <c r="M377" t="s">
        <v>19</v>
      </c>
      <c r="N377" t="s">
        <v>47</v>
      </c>
      <c r="O377" t="str">
        <f t="shared" si="25"/>
        <v>Aug</v>
      </c>
      <c r="P377" t="str">
        <f t="shared" si="26"/>
        <v>Monday</v>
      </c>
      <c r="Q377">
        <f t="shared" si="27"/>
        <v>1185.0047999999999</v>
      </c>
      <c r="R377">
        <f t="shared" si="28"/>
        <v>2654.2799999999997</v>
      </c>
      <c r="S377">
        <f t="shared" si="29"/>
        <v>2229.5951999999997</v>
      </c>
    </row>
    <row r="378" spans="1:19" x14ac:dyDescent="0.3">
      <c r="A378">
        <v>1046</v>
      </c>
      <c r="B378" s="1">
        <v>44979</v>
      </c>
      <c r="C378" t="s">
        <v>42</v>
      </c>
      <c r="D378" t="s">
        <v>25</v>
      </c>
      <c r="E378">
        <v>3391.32</v>
      </c>
      <c r="F378">
        <v>46</v>
      </c>
      <c r="G378" t="s">
        <v>29</v>
      </c>
      <c r="H378">
        <v>2551.56</v>
      </c>
      <c r="I378">
        <v>2841.68</v>
      </c>
      <c r="J378" t="s">
        <v>30</v>
      </c>
      <c r="K378">
        <v>0.09</v>
      </c>
      <c r="L378" t="s">
        <v>27</v>
      </c>
      <c r="M378" t="s">
        <v>22</v>
      </c>
      <c r="N378" t="s">
        <v>43</v>
      </c>
      <c r="O378" t="str">
        <f t="shared" si="25"/>
        <v>Feb</v>
      </c>
      <c r="P378" t="str">
        <f t="shared" si="26"/>
        <v>Wednesday</v>
      </c>
      <c r="Q378">
        <f t="shared" si="27"/>
        <v>106808.30160000001</v>
      </c>
      <c r="R378">
        <f t="shared" si="28"/>
        <v>13345.519999999995</v>
      </c>
      <c r="S378">
        <f t="shared" si="29"/>
        <v>12144.423199999996</v>
      </c>
    </row>
    <row r="379" spans="1:19" x14ac:dyDescent="0.3">
      <c r="A379">
        <v>1053</v>
      </c>
      <c r="B379" s="1">
        <v>45281</v>
      </c>
      <c r="C379" t="s">
        <v>14</v>
      </c>
      <c r="D379" t="s">
        <v>15</v>
      </c>
      <c r="E379">
        <v>660.2</v>
      </c>
      <c r="F379">
        <v>44</v>
      </c>
      <c r="G379" t="s">
        <v>16</v>
      </c>
      <c r="H379">
        <v>2045</v>
      </c>
      <c r="I379">
        <v>2217.5100000000002</v>
      </c>
      <c r="J379" t="s">
        <v>17</v>
      </c>
      <c r="K379">
        <v>0.08</v>
      </c>
      <c r="L379" t="s">
        <v>31</v>
      </c>
      <c r="M379" t="s">
        <v>19</v>
      </c>
      <c r="N379" t="s">
        <v>20</v>
      </c>
      <c r="O379" t="str">
        <f t="shared" si="25"/>
        <v>Dec</v>
      </c>
      <c r="P379" t="str">
        <f t="shared" si="26"/>
        <v>Thursday</v>
      </c>
      <c r="Q379">
        <f t="shared" si="27"/>
        <v>82781.600000000006</v>
      </c>
      <c r="R379">
        <f t="shared" si="28"/>
        <v>7590.4400000000096</v>
      </c>
      <c r="S379">
        <f t="shared" si="29"/>
        <v>6983.2048000000095</v>
      </c>
    </row>
    <row r="380" spans="1:19"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c r="O380" t="str">
        <f t="shared" si="25"/>
        <v>Dec</v>
      </c>
      <c r="P380" t="str">
        <f t="shared" si="26"/>
        <v>Friday</v>
      </c>
      <c r="Q380">
        <f t="shared" si="27"/>
        <v>9190.2240000000002</v>
      </c>
      <c r="R380">
        <f t="shared" si="28"/>
        <v>1457.1999999999989</v>
      </c>
      <c r="S380">
        <f t="shared" si="29"/>
        <v>1049.1839999999993</v>
      </c>
    </row>
    <row r="381" spans="1:19"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c r="O381" t="str">
        <f t="shared" si="25"/>
        <v>Dec</v>
      </c>
      <c r="P381" t="str">
        <f t="shared" si="26"/>
        <v>Saturday</v>
      </c>
      <c r="Q381">
        <f t="shared" si="27"/>
        <v>86090.168499999985</v>
      </c>
      <c r="R381">
        <f t="shared" si="28"/>
        <v>7505.2000000000053</v>
      </c>
      <c r="S381">
        <f t="shared" si="29"/>
        <v>7129.9400000000051</v>
      </c>
    </row>
    <row r="382" spans="1:19"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c r="O382" t="str">
        <f t="shared" si="25"/>
        <v>Oct</v>
      </c>
      <c r="P382" t="str">
        <f t="shared" si="26"/>
        <v>Saturday</v>
      </c>
      <c r="Q382">
        <f t="shared" si="27"/>
        <v>12364.592999999999</v>
      </c>
      <c r="R382">
        <f t="shared" si="28"/>
        <v>5854.8799999999992</v>
      </c>
      <c r="S382">
        <f t="shared" si="29"/>
        <v>4859.5503999999992</v>
      </c>
    </row>
    <row r="383" spans="1:19"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c r="O383" t="str">
        <f t="shared" si="25"/>
        <v>Mar</v>
      </c>
      <c r="P383" t="str">
        <f t="shared" si="26"/>
        <v>Wednesday</v>
      </c>
      <c r="Q383">
        <f t="shared" si="27"/>
        <v>24332.180399999997</v>
      </c>
      <c r="R383">
        <f t="shared" si="28"/>
        <v>383.82000000000153</v>
      </c>
      <c r="S383">
        <f t="shared" si="29"/>
        <v>318.57060000000126</v>
      </c>
    </row>
    <row r="384" spans="1:19" x14ac:dyDescent="0.3">
      <c r="A384">
        <v>1063</v>
      </c>
      <c r="B384" s="1">
        <v>45128</v>
      </c>
      <c r="C384" t="s">
        <v>14</v>
      </c>
      <c r="D384" t="s">
        <v>34</v>
      </c>
      <c r="E384">
        <v>6359.59</v>
      </c>
      <c r="F384">
        <v>32</v>
      </c>
      <c r="G384" t="s">
        <v>35</v>
      </c>
      <c r="H384">
        <v>975.31</v>
      </c>
      <c r="I384">
        <v>1176.17</v>
      </c>
      <c r="J384" t="s">
        <v>30</v>
      </c>
      <c r="K384">
        <v>0.22</v>
      </c>
      <c r="L384" t="s">
        <v>27</v>
      </c>
      <c r="M384" t="s">
        <v>22</v>
      </c>
      <c r="N384" t="s">
        <v>46</v>
      </c>
      <c r="O384" t="str">
        <f t="shared" si="25"/>
        <v>Jul</v>
      </c>
      <c r="P384" t="str">
        <f t="shared" si="26"/>
        <v>Friday</v>
      </c>
      <c r="Q384">
        <f t="shared" si="27"/>
        <v>24343.7376</v>
      </c>
      <c r="R384">
        <f t="shared" si="28"/>
        <v>6427.5200000000041</v>
      </c>
      <c r="S384">
        <f t="shared" si="29"/>
        <v>5013.4656000000032</v>
      </c>
    </row>
    <row r="385" spans="1:19" x14ac:dyDescent="0.3">
      <c r="A385">
        <v>1085</v>
      </c>
      <c r="B385" s="1">
        <v>45084</v>
      </c>
      <c r="C385" t="s">
        <v>33</v>
      </c>
      <c r="D385" t="s">
        <v>34</v>
      </c>
      <c r="E385">
        <v>2070.02</v>
      </c>
      <c r="F385">
        <v>42</v>
      </c>
      <c r="G385" t="s">
        <v>29</v>
      </c>
      <c r="H385">
        <v>2254.11</v>
      </c>
      <c r="I385">
        <v>2382.23</v>
      </c>
      <c r="J385" t="s">
        <v>17</v>
      </c>
      <c r="K385">
        <v>0.15</v>
      </c>
      <c r="L385" t="s">
        <v>31</v>
      </c>
      <c r="M385" t="s">
        <v>22</v>
      </c>
      <c r="N385" t="s">
        <v>36</v>
      </c>
      <c r="O385" t="str">
        <f t="shared" si="25"/>
        <v>Jun</v>
      </c>
      <c r="P385" t="str">
        <f t="shared" si="26"/>
        <v>Wednesday</v>
      </c>
      <c r="Q385">
        <f t="shared" si="27"/>
        <v>80471.727000000014</v>
      </c>
      <c r="R385">
        <f t="shared" si="28"/>
        <v>5381.0399999999954</v>
      </c>
      <c r="S385">
        <f t="shared" si="29"/>
        <v>4573.8839999999964</v>
      </c>
    </row>
    <row r="386" spans="1:19"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c r="O386" t="str">
        <f t="shared" si="25"/>
        <v>Apr</v>
      </c>
      <c r="P386" t="str">
        <f t="shared" si="26"/>
        <v>Sunday</v>
      </c>
      <c r="Q386">
        <f t="shared" si="27"/>
        <v>40839.940799999997</v>
      </c>
      <c r="R386">
        <f t="shared" si="28"/>
        <v>318.42000000000098</v>
      </c>
      <c r="S386">
        <f t="shared" si="29"/>
        <v>292.94640000000089</v>
      </c>
    </row>
    <row r="387" spans="1:19"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c r="O387" t="str">
        <f t="shared" ref="O387:O450" si="30">TEXT(B387,"mmm")</f>
        <v>Feb</v>
      </c>
      <c r="P387" t="str">
        <f t="shared" ref="P387:P450" si="31">TEXT(B387,"dddd")</f>
        <v>Tuesday</v>
      </c>
      <c r="Q387">
        <f t="shared" ref="Q387:Q450" si="32">(F387*H387)*(1-K387)</f>
        <v>58063.904999999992</v>
      </c>
      <c r="R387">
        <f t="shared" ref="R387:R450" si="33">(I387-H387)*F387</f>
        <v>2796.7499999999973</v>
      </c>
      <c r="S387">
        <f t="shared" ref="S387:S450" si="34">((I387-H387)*F387)*(1-K387)</f>
        <v>2656.9124999999972</v>
      </c>
    </row>
    <row r="388" spans="1:19"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c r="O388" t="str">
        <f t="shared" si="30"/>
        <v>Aug</v>
      </c>
      <c r="P388" t="str">
        <f t="shared" si="31"/>
        <v>Thursday</v>
      </c>
      <c r="Q388">
        <f t="shared" si="32"/>
        <v>17534.556000000004</v>
      </c>
      <c r="R388">
        <f t="shared" si="33"/>
        <v>2160.3999999999996</v>
      </c>
      <c r="S388">
        <f t="shared" si="34"/>
        <v>1749.9239999999998</v>
      </c>
    </row>
    <row r="389" spans="1:19" x14ac:dyDescent="0.3">
      <c r="A389">
        <v>1067</v>
      </c>
      <c r="B389" s="1">
        <v>45054</v>
      </c>
      <c r="C389" t="s">
        <v>33</v>
      </c>
      <c r="D389" t="s">
        <v>15</v>
      </c>
      <c r="E389">
        <v>2850.74</v>
      </c>
      <c r="F389">
        <v>32</v>
      </c>
      <c r="G389" t="s">
        <v>26</v>
      </c>
      <c r="H389">
        <v>2171.79</v>
      </c>
      <c r="I389">
        <v>2307.64</v>
      </c>
      <c r="J389" t="s">
        <v>17</v>
      </c>
      <c r="K389">
        <v>0.22</v>
      </c>
      <c r="L389" t="s">
        <v>27</v>
      </c>
      <c r="M389" t="s">
        <v>19</v>
      </c>
      <c r="N389" t="s">
        <v>53</v>
      </c>
      <c r="O389" t="str">
        <f t="shared" si="30"/>
        <v>May</v>
      </c>
      <c r="P389" t="str">
        <f t="shared" si="31"/>
        <v>Monday</v>
      </c>
      <c r="Q389">
        <f t="shared" si="32"/>
        <v>54207.878400000001</v>
      </c>
      <c r="R389">
        <f t="shared" si="33"/>
        <v>4347.1999999999971</v>
      </c>
      <c r="S389">
        <f t="shared" si="34"/>
        <v>3390.815999999998</v>
      </c>
    </row>
    <row r="390" spans="1:19" x14ac:dyDescent="0.3">
      <c r="A390">
        <v>1018</v>
      </c>
      <c r="B390" s="1">
        <v>45150</v>
      </c>
      <c r="C390" t="s">
        <v>33</v>
      </c>
      <c r="D390" t="s">
        <v>15</v>
      </c>
      <c r="E390">
        <v>2835.56</v>
      </c>
      <c r="F390">
        <v>9</v>
      </c>
      <c r="G390" t="s">
        <v>35</v>
      </c>
      <c r="H390">
        <v>3161.09</v>
      </c>
      <c r="I390">
        <v>3216.42</v>
      </c>
      <c r="J390" t="s">
        <v>30</v>
      </c>
      <c r="K390">
        <v>0.17</v>
      </c>
      <c r="L390" t="s">
        <v>27</v>
      </c>
      <c r="M390" t="s">
        <v>19</v>
      </c>
      <c r="N390" t="s">
        <v>53</v>
      </c>
      <c r="O390" t="str">
        <f t="shared" si="30"/>
        <v>Aug</v>
      </c>
      <c r="P390" t="str">
        <f t="shared" si="31"/>
        <v>Saturday</v>
      </c>
      <c r="Q390">
        <f t="shared" si="32"/>
        <v>23613.3423</v>
      </c>
      <c r="R390">
        <f t="shared" si="33"/>
        <v>497.96999999999935</v>
      </c>
      <c r="S390">
        <f t="shared" si="34"/>
        <v>413.31509999999946</v>
      </c>
    </row>
    <row r="391" spans="1:19" x14ac:dyDescent="0.3">
      <c r="A391">
        <v>1025</v>
      </c>
      <c r="B391" s="1">
        <v>45135</v>
      </c>
      <c r="C391" t="s">
        <v>24</v>
      </c>
      <c r="D391" t="s">
        <v>21</v>
      </c>
      <c r="E391">
        <v>4376.99</v>
      </c>
      <c r="F391">
        <v>37</v>
      </c>
      <c r="G391" t="s">
        <v>35</v>
      </c>
      <c r="H391">
        <v>1115.02</v>
      </c>
      <c r="I391">
        <v>1174.48</v>
      </c>
      <c r="J391" t="s">
        <v>30</v>
      </c>
      <c r="K391">
        <v>0.22</v>
      </c>
      <c r="L391" t="s">
        <v>31</v>
      </c>
      <c r="M391" t="s">
        <v>19</v>
      </c>
      <c r="N391" t="s">
        <v>47</v>
      </c>
      <c r="O391" t="str">
        <f t="shared" si="30"/>
        <v>Jul</v>
      </c>
      <c r="P391" t="str">
        <f t="shared" si="31"/>
        <v>Friday</v>
      </c>
      <c r="Q391">
        <f t="shared" si="32"/>
        <v>32179.477200000001</v>
      </c>
      <c r="R391">
        <f t="shared" si="33"/>
        <v>2200.0200000000013</v>
      </c>
      <c r="S391">
        <f t="shared" si="34"/>
        <v>1716.0156000000011</v>
      </c>
    </row>
    <row r="392" spans="1:19" x14ac:dyDescent="0.3">
      <c r="A392">
        <v>1095</v>
      </c>
      <c r="B392" s="1">
        <v>45041</v>
      </c>
      <c r="C392" t="s">
        <v>14</v>
      </c>
      <c r="D392" t="s">
        <v>25</v>
      </c>
      <c r="E392">
        <v>9805.65</v>
      </c>
      <c r="F392">
        <v>10</v>
      </c>
      <c r="G392" t="s">
        <v>35</v>
      </c>
      <c r="H392">
        <v>3155.97</v>
      </c>
      <c r="I392">
        <v>3263.49</v>
      </c>
      <c r="J392" t="s">
        <v>17</v>
      </c>
      <c r="K392">
        <v>0.04</v>
      </c>
      <c r="L392" t="s">
        <v>31</v>
      </c>
      <c r="M392" t="s">
        <v>19</v>
      </c>
      <c r="N392" t="s">
        <v>32</v>
      </c>
      <c r="O392" t="str">
        <f t="shared" si="30"/>
        <v>Apr</v>
      </c>
      <c r="P392" t="str">
        <f t="shared" si="31"/>
        <v>Tuesday</v>
      </c>
      <c r="Q392">
        <f t="shared" si="32"/>
        <v>30297.311999999994</v>
      </c>
      <c r="R392">
        <f t="shared" si="33"/>
        <v>1075.1999999999998</v>
      </c>
      <c r="S392">
        <f t="shared" si="34"/>
        <v>1032.1919999999998</v>
      </c>
    </row>
    <row r="393" spans="1:19"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c r="O393" t="str">
        <f t="shared" si="30"/>
        <v>Jul</v>
      </c>
      <c r="P393" t="str">
        <f t="shared" si="31"/>
        <v>Friday</v>
      </c>
      <c r="Q393">
        <f t="shared" si="32"/>
        <v>68407.672000000006</v>
      </c>
      <c r="R393">
        <f t="shared" si="33"/>
        <v>9998.5999999999876</v>
      </c>
      <c r="S393">
        <f t="shared" si="34"/>
        <v>7398.9639999999908</v>
      </c>
    </row>
    <row r="394" spans="1:19"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c r="O394" t="str">
        <f t="shared" si="30"/>
        <v>Jan</v>
      </c>
      <c r="P394" t="str">
        <f t="shared" si="31"/>
        <v>Saturday</v>
      </c>
      <c r="Q394">
        <f t="shared" si="32"/>
        <v>24838.7958</v>
      </c>
      <c r="R394">
        <f t="shared" si="33"/>
        <v>66.419999999998254</v>
      </c>
      <c r="S394">
        <f t="shared" si="34"/>
        <v>55.128599999998549</v>
      </c>
    </row>
    <row r="395" spans="1:19"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c r="O395" t="str">
        <f t="shared" si="30"/>
        <v>Jan</v>
      </c>
      <c r="P395" t="str">
        <f t="shared" si="31"/>
        <v>Monday</v>
      </c>
      <c r="Q395">
        <f t="shared" si="32"/>
        <v>9705.8303999999989</v>
      </c>
      <c r="R395">
        <f t="shared" si="33"/>
        <v>15501.599999999953</v>
      </c>
      <c r="S395">
        <f t="shared" si="34"/>
        <v>14881.535999999955</v>
      </c>
    </row>
    <row r="396" spans="1:19"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c r="O396" t="str">
        <f t="shared" si="30"/>
        <v>Feb</v>
      </c>
      <c r="P396" t="str">
        <f t="shared" si="31"/>
        <v>Thursday</v>
      </c>
      <c r="Q396">
        <f t="shared" si="32"/>
        <v>3137.6928000000003</v>
      </c>
      <c r="R396">
        <f t="shared" si="33"/>
        <v>237.62999999999943</v>
      </c>
      <c r="S396">
        <f t="shared" si="34"/>
        <v>204.3617999999995</v>
      </c>
    </row>
    <row r="397" spans="1:19" x14ac:dyDescent="0.3">
      <c r="A397">
        <v>1024</v>
      </c>
      <c r="B397" s="1">
        <v>45163</v>
      </c>
      <c r="C397" t="s">
        <v>24</v>
      </c>
      <c r="D397" t="s">
        <v>25</v>
      </c>
      <c r="E397">
        <v>1221.7</v>
      </c>
      <c r="F397">
        <v>42</v>
      </c>
      <c r="G397" t="s">
        <v>35</v>
      </c>
      <c r="H397">
        <v>1586.02</v>
      </c>
      <c r="I397">
        <v>2047.13</v>
      </c>
      <c r="J397" t="s">
        <v>30</v>
      </c>
      <c r="K397">
        <v>0.25</v>
      </c>
      <c r="L397" t="s">
        <v>18</v>
      </c>
      <c r="M397" t="s">
        <v>22</v>
      </c>
      <c r="N397" t="s">
        <v>28</v>
      </c>
      <c r="O397" t="str">
        <f t="shared" si="30"/>
        <v>Aug</v>
      </c>
      <c r="P397" t="str">
        <f t="shared" si="31"/>
        <v>Friday</v>
      </c>
      <c r="Q397">
        <f t="shared" si="32"/>
        <v>49959.63</v>
      </c>
      <c r="R397">
        <f t="shared" si="33"/>
        <v>19366.620000000006</v>
      </c>
      <c r="S397">
        <f t="shared" si="34"/>
        <v>14524.965000000004</v>
      </c>
    </row>
    <row r="398" spans="1:19"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c r="O398" t="str">
        <f t="shared" si="30"/>
        <v>Oct</v>
      </c>
      <c r="P398" t="str">
        <f t="shared" si="31"/>
        <v>Sunday</v>
      </c>
      <c r="Q398">
        <f t="shared" si="32"/>
        <v>16266.130100000002</v>
      </c>
      <c r="R398">
        <f t="shared" si="33"/>
        <v>614.6800000000012</v>
      </c>
      <c r="S398">
        <f t="shared" si="34"/>
        <v>448.71640000000087</v>
      </c>
    </row>
    <row r="399" spans="1:19" x14ac:dyDescent="0.3">
      <c r="A399">
        <v>1047</v>
      </c>
      <c r="B399" s="1">
        <v>45285</v>
      </c>
      <c r="C399" t="s">
        <v>24</v>
      </c>
      <c r="D399" t="s">
        <v>15</v>
      </c>
      <c r="E399">
        <v>7405.06</v>
      </c>
      <c r="F399">
        <v>43</v>
      </c>
      <c r="G399" t="s">
        <v>35</v>
      </c>
      <c r="H399">
        <v>1249.17</v>
      </c>
      <c r="I399">
        <v>1727.15</v>
      </c>
      <c r="J399" t="s">
        <v>30</v>
      </c>
      <c r="K399">
        <v>0.08</v>
      </c>
      <c r="L399" t="s">
        <v>18</v>
      </c>
      <c r="M399" t="s">
        <v>22</v>
      </c>
      <c r="N399" t="s">
        <v>45</v>
      </c>
      <c r="O399" t="str">
        <f t="shared" si="30"/>
        <v>Dec</v>
      </c>
      <c r="P399" t="str">
        <f t="shared" si="31"/>
        <v>Monday</v>
      </c>
      <c r="Q399">
        <f t="shared" si="32"/>
        <v>49417.165200000003</v>
      </c>
      <c r="R399">
        <f t="shared" si="33"/>
        <v>20553.14</v>
      </c>
      <c r="S399">
        <f t="shared" si="34"/>
        <v>18908.888800000001</v>
      </c>
    </row>
    <row r="400" spans="1:19" x14ac:dyDescent="0.3">
      <c r="A400">
        <v>1086</v>
      </c>
      <c r="B400" s="1">
        <v>45127</v>
      </c>
      <c r="C400" t="s">
        <v>14</v>
      </c>
      <c r="D400" t="s">
        <v>15</v>
      </c>
      <c r="E400">
        <v>7075.09</v>
      </c>
      <c r="F400">
        <v>17</v>
      </c>
      <c r="G400" t="s">
        <v>26</v>
      </c>
      <c r="H400">
        <v>1057.27</v>
      </c>
      <c r="I400">
        <v>1366.62</v>
      </c>
      <c r="J400" t="s">
        <v>30</v>
      </c>
      <c r="K400">
        <v>0.21</v>
      </c>
      <c r="L400" t="s">
        <v>31</v>
      </c>
      <c r="M400" t="s">
        <v>22</v>
      </c>
      <c r="N400" t="s">
        <v>20</v>
      </c>
      <c r="O400" t="str">
        <f t="shared" si="30"/>
        <v>Jul</v>
      </c>
      <c r="P400" t="str">
        <f t="shared" si="31"/>
        <v>Thursday</v>
      </c>
      <c r="Q400">
        <f t="shared" si="32"/>
        <v>14199.136100000002</v>
      </c>
      <c r="R400">
        <f t="shared" si="33"/>
        <v>5258.9499999999989</v>
      </c>
      <c r="S400">
        <f t="shared" si="34"/>
        <v>4154.5704999999989</v>
      </c>
    </row>
    <row r="401" spans="1:19" x14ac:dyDescent="0.3">
      <c r="A401">
        <v>1023</v>
      </c>
      <c r="B401" s="1">
        <v>45172</v>
      </c>
      <c r="C401" t="s">
        <v>24</v>
      </c>
      <c r="D401" t="s">
        <v>25</v>
      </c>
      <c r="E401">
        <v>4285.01</v>
      </c>
      <c r="F401">
        <v>32</v>
      </c>
      <c r="G401" t="s">
        <v>35</v>
      </c>
      <c r="H401">
        <v>4775.04</v>
      </c>
      <c r="I401">
        <v>4785.66</v>
      </c>
      <c r="J401" t="s">
        <v>30</v>
      </c>
      <c r="K401">
        <v>0.03</v>
      </c>
      <c r="L401" t="s">
        <v>18</v>
      </c>
      <c r="M401" t="s">
        <v>19</v>
      </c>
      <c r="N401" t="s">
        <v>28</v>
      </c>
      <c r="O401" t="str">
        <f t="shared" si="30"/>
        <v>Sep</v>
      </c>
      <c r="P401" t="str">
        <f t="shared" si="31"/>
        <v>Sunday</v>
      </c>
      <c r="Q401">
        <f t="shared" si="32"/>
        <v>148217.24160000001</v>
      </c>
      <c r="R401">
        <f t="shared" si="33"/>
        <v>339.83999999999651</v>
      </c>
      <c r="S401">
        <f t="shared" si="34"/>
        <v>329.64479999999662</v>
      </c>
    </row>
    <row r="402" spans="1:19" x14ac:dyDescent="0.3">
      <c r="A402">
        <v>1066</v>
      </c>
      <c r="B402" s="1">
        <v>45204</v>
      </c>
      <c r="C402" t="s">
        <v>42</v>
      </c>
      <c r="D402" t="s">
        <v>25</v>
      </c>
      <c r="E402">
        <v>3530.59</v>
      </c>
      <c r="F402">
        <v>4</v>
      </c>
      <c r="G402" t="s">
        <v>16</v>
      </c>
      <c r="H402">
        <v>4596.68</v>
      </c>
      <c r="I402">
        <v>5044.74</v>
      </c>
      <c r="J402" t="s">
        <v>30</v>
      </c>
      <c r="K402">
        <v>0.01</v>
      </c>
      <c r="L402" t="s">
        <v>27</v>
      </c>
      <c r="M402" t="s">
        <v>19</v>
      </c>
      <c r="N402" t="s">
        <v>43</v>
      </c>
      <c r="O402" t="str">
        <f t="shared" si="30"/>
        <v>Oct</v>
      </c>
      <c r="P402" t="str">
        <f t="shared" si="31"/>
        <v>Thursday</v>
      </c>
      <c r="Q402">
        <f t="shared" si="32"/>
        <v>18202.852800000001</v>
      </c>
      <c r="R402">
        <f t="shared" si="33"/>
        <v>1792.239999999998</v>
      </c>
      <c r="S402">
        <f t="shared" si="34"/>
        <v>1774.317599999998</v>
      </c>
    </row>
    <row r="403" spans="1:19" x14ac:dyDescent="0.3">
      <c r="A403">
        <v>1027</v>
      </c>
      <c r="B403" s="1">
        <v>45161</v>
      </c>
      <c r="C403" t="s">
        <v>14</v>
      </c>
      <c r="D403" t="s">
        <v>34</v>
      </c>
      <c r="E403">
        <v>4036.36</v>
      </c>
      <c r="F403">
        <v>4</v>
      </c>
      <c r="G403" t="s">
        <v>35</v>
      </c>
      <c r="H403">
        <v>282.61</v>
      </c>
      <c r="I403">
        <v>548.25</v>
      </c>
      <c r="J403" t="s">
        <v>30</v>
      </c>
      <c r="K403">
        <v>0.17</v>
      </c>
      <c r="L403" t="s">
        <v>31</v>
      </c>
      <c r="M403" t="s">
        <v>19</v>
      </c>
      <c r="N403" t="s">
        <v>46</v>
      </c>
      <c r="O403" t="str">
        <f t="shared" si="30"/>
        <v>Aug</v>
      </c>
      <c r="P403" t="str">
        <f t="shared" si="31"/>
        <v>Wednesday</v>
      </c>
      <c r="Q403">
        <f t="shared" si="32"/>
        <v>938.26520000000005</v>
      </c>
      <c r="R403">
        <f t="shared" si="33"/>
        <v>1062.56</v>
      </c>
      <c r="S403">
        <f t="shared" si="34"/>
        <v>881.92479999999989</v>
      </c>
    </row>
    <row r="404" spans="1:19" x14ac:dyDescent="0.3">
      <c r="A404">
        <v>1002</v>
      </c>
      <c r="B404" s="1">
        <v>44930</v>
      </c>
      <c r="C404" t="s">
        <v>14</v>
      </c>
      <c r="D404" t="s">
        <v>34</v>
      </c>
      <c r="E404">
        <v>2716.34</v>
      </c>
      <c r="F404">
        <v>17</v>
      </c>
      <c r="G404" t="s">
        <v>16</v>
      </c>
      <c r="H404">
        <v>1727.12</v>
      </c>
      <c r="I404">
        <v>1865.83</v>
      </c>
      <c r="J404" t="s">
        <v>30</v>
      </c>
      <c r="K404">
        <v>0.21</v>
      </c>
      <c r="L404" t="s">
        <v>18</v>
      </c>
      <c r="M404" t="s">
        <v>19</v>
      </c>
      <c r="N404" t="s">
        <v>46</v>
      </c>
      <c r="O404" t="str">
        <f t="shared" si="30"/>
        <v>Jan</v>
      </c>
      <c r="P404" t="str">
        <f t="shared" si="31"/>
        <v>Wednesday</v>
      </c>
      <c r="Q404">
        <f t="shared" si="32"/>
        <v>23195.221599999997</v>
      </c>
      <c r="R404">
        <f t="shared" si="33"/>
        <v>2358.0700000000006</v>
      </c>
      <c r="S404">
        <f t="shared" si="34"/>
        <v>1862.8753000000006</v>
      </c>
    </row>
    <row r="405" spans="1:19"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c r="O405" t="str">
        <f t="shared" si="30"/>
        <v>Jun</v>
      </c>
      <c r="P405" t="str">
        <f t="shared" si="31"/>
        <v>Saturday</v>
      </c>
      <c r="Q405">
        <f t="shared" si="32"/>
        <v>64049.068399999996</v>
      </c>
      <c r="R405">
        <f t="shared" si="33"/>
        <v>15824.770000000011</v>
      </c>
      <c r="S405">
        <f t="shared" si="34"/>
        <v>12026.825200000008</v>
      </c>
    </row>
    <row r="406" spans="1:19"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c r="O406" t="str">
        <f t="shared" si="30"/>
        <v>Jan</v>
      </c>
      <c r="P406" t="str">
        <f t="shared" si="31"/>
        <v>Sunday</v>
      </c>
      <c r="Q406">
        <f t="shared" si="32"/>
        <v>21086.351999999999</v>
      </c>
      <c r="R406">
        <f t="shared" si="33"/>
        <v>8817.3299999998126</v>
      </c>
      <c r="S406">
        <f t="shared" si="34"/>
        <v>7935.5969999998315</v>
      </c>
    </row>
    <row r="407" spans="1:19" x14ac:dyDescent="0.3">
      <c r="A407">
        <v>1033</v>
      </c>
      <c r="B407" s="1">
        <v>45035</v>
      </c>
      <c r="C407" t="s">
        <v>14</v>
      </c>
      <c r="D407" t="s">
        <v>25</v>
      </c>
      <c r="E407">
        <v>2758.48</v>
      </c>
      <c r="F407">
        <v>5</v>
      </c>
      <c r="G407" t="s">
        <v>16</v>
      </c>
      <c r="H407">
        <v>3162.92</v>
      </c>
      <c r="I407">
        <v>3409.93</v>
      </c>
      <c r="J407" t="s">
        <v>30</v>
      </c>
      <c r="K407">
        <v>0</v>
      </c>
      <c r="L407" t="s">
        <v>18</v>
      </c>
      <c r="M407" t="s">
        <v>19</v>
      </c>
      <c r="N407" t="s">
        <v>32</v>
      </c>
      <c r="O407" t="str">
        <f t="shared" si="30"/>
        <v>Apr</v>
      </c>
      <c r="P407" t="str">
        <f t="shared" si="31"/>
        <v>Wednesday</v>
      </c>
      <c r="Q407">
        <f t="shared" si="32"/>
        <v>15814.6</v>
      </c>
      <c r="R407">
        <f t="shared" si="33"/>
        <v>1235.0499999999988</v>
      </c>
      <c r="S407">
        <f t="shared" si="34"/>
        <v>1235.0499999999988</v>
      </c>
    </row>
    <row r="408" spans="1:19"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c r="O408" t="str">
        <f t="shared" si="30"/>
        <v>Apr</v>
      </c>
      <c r="P408" t="str">
        <f t="shared" si="31"/>
        <v>Saturday</v>
      </c>
      <c r="Q408">
        <f t="shared" si="32"/>
        <v>88611.097600000008</v>
      </c>
      <c r="R408">
        <f t="shared" si="33"/>
        <v>5267.8399999999965</v>
      </c>
      <c r="S408">
        <f t="shared" si="34"/>
        <v>4530.3423999999968</v>
      </c>
    </row>
    <row r="409" spans="1:19" x14ac:dyDescent="0.3">
      <c r="A409">
        <v>1043</v>
      </c>
      <c r="B409" s="1">
        <v>45141</v>
      </c>
      <c r="C409" t="s">
        <v>24</v>
      </c>
      <c r="D409" t="s">
        <v>34</v>
      </c>
      <c r="E409">
        <v>6601.89</v>
      </c>
      <c r="F409">
        <v>22</v>
      </c>
      <c r="G409" t="s">
        <v>35</v>
      </c>
      <c r="H409">
        <v>4260</v>
      </c>
      <c r="I409">
        <v>4656.58</v>
      </c>
      <c r="J409" t="s">
        <v>30</v>
      </c>
      <c r="K409">
        <v>0</v>
      </c>
      <c r="L409" t="s">
        <v>27</v>
      </c>
      <c r="M409" t="s">
        <v>19</v>
      </c>
      <c r="N409" t="s">
        <v>50</v>
      </c>
      <c r="O409" t="str">
        <f t="shared" si="30"/>
        <v>Aug</v>
      </c>
      <c r="P409" t="str">
        <f t="shared" si="31"/>
        <v>Thursday</v>
      </c>
      <c r="Q409">
        <f t="shared" si="32"/>
        <v>93720</v>
      </c>
      <c r="R409">
        <f t="shared" si="33"/>
        <v>8724.7599999999984</v>
      </c>
      <c r="S409">
        <f t="shared" si="34"/>
        <v>8724.7599999999984</v>
      </c>
    </row>
    <row r="410" spans="1:19" x14ac:dyDescent="0.3">
      <c r="A410">
        <v>1048</v>
      </c>
      <c r="B410" s="1">
        <v>45219</v>
      </c>
      <c r="C410" t="s">
        <v>42</v>
      </c>
      <c r="D410" t="s">
        <v>25</v>
      </c>
      <c r="E410">
        <v>9688.52</v>
      </c>
      <c r="F410">
        <v>6</v>
      </c>
      <c r="G410" t="s">
        <v>35</v>
      </c>
      <c r="H410">
        <v>3717.3</v>
      </c>
      <c r="I410">
        <v>4061.37</v>
      </c>
      <c r="J410" t="s">
        <v>30</v>
      </c>
      <c r="K410">
        <v>0.03</v>
      </c>
      <c r="L410" t="s">
        <v>27</v>
      </c>
      <c r="M410" t="s">
        <v>22</v>
      </c>
      <c r="N410" t="s">
        <v>43</v>
      </c>
      <c r="O410" t="str">
        <f t="shared" si="30"/>
        <v>Oct</v>
      </c>
      <c r="P410" t="str">
        <f t="shared" si="31"/>
        <v>Friday</v>
      </c>
      <c r="Q410">
        <f t="shared" si="32"/>
        <v>21634.686000000002</v>
      </c>
      <c r="R410">
        <f t="shared" si="33"/>
        <v>2064.4199999999983</v>
      </c>
      <c r="S410">
        <f t="shared" si="34"/>
        <v>2002.4873999999982</v>
      </c>
    </row>
    <row r="411" spans="1:19" x14ac:dyDescent="0.3">
      <c r="A411">
        <v>1039</v>
      </c>
      <c r="B411" s="1">
        <v>45001</v>
      </c>
      <c r="C411" t="s">
        <v>38</v>
      </c>
      <c r="D411" t="s">
        <v>15</v>
      </c>
      <c r="E411">
        <v>6076.01</v>
      </c>
      <c r="F411">
        <v>35</v>
      </c>
      <c r="G411" t="s">
        <v>16</v>
      </c>
      <c r="H411">
        <v>2735.74</v>
      </c>
      <c r="I411">
        <v>3181.22999999999</v>
      </c>
      <c r="J411" t="s">
        <v>30</v>
      </c>
      <c r="K411">
        <v>0.1</v>
      </c>
      <c r="L411" t="s">
        <v>31</v>
      </c>
      <c r="M411" t="s">
        <v>22</v>
      </c>
      <c r="N411" t="s">
        <v>40</v>
      </c>
      <c r="O411" t="str">
        <f t="shared" si="30"/>
        <v>Mar</v>
      </c>
      <c r="P411" t="str">
        <f t="shared" si="31"/>
        <v>Thursday</v>
      </c>
      <c r="Q411">
        <f t="shared" si="32"/>
        <v>86175.81</v>
      </c>
      <c r="R411">
        <f t="shared" si="33"/>
        <v>15592.149999999658</v>
      </c>
      <c r="S411">
        <f t="shared" si="34"/>
        <v>14032.934999999692</v>
      </c>
    </row>
    <row r="412" spans="1:19" x14ac:dyDescent="0.3">
      <c r="A412">
        <v>1093</v>
      </c>
      <c r="B412" s="1">
        <v>45252</v>
      </c>
      <c r="C412" t="s">
        <v>33</v>
      </c>
      <c r="D412" t="s">
        <v>15</v>
      </c>
      <c r="E412">
        <v>862.1</v>
      </c>
      <c r="F412">
        <v>22</v>
      </c>
      <c r="G412" t="s">
        <v>16</v>
      </c>
      <c r="H412">
        <v>3285.25</v>
      </c>
      <c r="I412">
        <v>3634.58</v>
      </c>
      <c r="J412" t="s">
        <v>30</v>
      </c>
      <c r="K412">
        <v>0.13</v>
      </c>
      <c r="L412" t="s">
        <v>27</v>
      </c>
      <c r="M412" t="s">
        <v>19</v>
      </c>
      <c r="N412" t="s">
        <v>53</v>
      </c>
      <c r="O412" t="str">
        <f t="shared" si="30"/>
        <v>Nov</v>
      </c>
      <c r="P412" t="str">
        <f t="shared" si="31"/>
        <v>Wednesday</v>
      </c>
      <c r="Q412">
        <f t="shared" si="32"/>
        <v>62879.684999999998</v>
      </c>
      <c r="R412">
        <f t="shared" si="33"/>
        <v>7685.2599999999984</v>
      </c>
      <c r="S412">
        <f t="shared" si="34"/>
        <v>6686.176199999999</v>
      </c>
    </row>
    <row r="413" spans="1:19" x14ac:dyDescent="0.3">
      <c r="A413">
        <v>1042</v>
      </c>
      <c r="B413" s="1">
        <v>45072</v>
      </c>
      <c r="C413" t="s">
        <v>14</v>
      </c>
      <c r="D413" t="s">
        <v>34</v>
      </c>
      <c r="E413">
        <v>848.28</v>
      </c>
      <c r="F413">
        <v>1</v>
      </c>
      <c r="G413" t="s">
        <v>35</v>
      </c>
      <c r="H413">
        <v>1406.24</v>
      </c>
      <c r="I413">
        <v>1535.57</v>
      </c>
      <c r="J413" t="s">
        <v>30</v>
      </c>
      <c r="K413">
        <v>0.08</v>
      </c>
      <c r="L413" t="s">
        <v>31</v>
      </c>
      <c r="M413" t="s">
        <v>22</v>
      </c>
      <c r="N413" t="s">
        <v>46</v>
      </c>
      <c r="O413" t="str">
        <f t="shared" si="30"/>
        <v>May</v>
      </c>
      <c r="P413" t="str">
        <f t="shared" si="31"/>
        <v>Friday</v>
      </c>
      <c r="Q413">
        <f t="shared" si="32"/>
        <v>1293.7408</v>
      </c>
      <c r="R413">
        <f t="shared" si="33"/>
        <v>129.32999999999993</v>
      </c>
      <c r="S413">
        <f t="shared" si="34"/>
        <v>118.98359999999994</v>
      </c>
    </row>
    <row r="414" spans="1:19" x14ac:dyDescent="0.3">
      <c r="A414">
        <v>1026</v>
      </c>
      <c r="B414" s="1">
        <v>45054</v>
      </c>
      <c r="C414" t="s">
        <v>33</v>
      </c>
      <c r="D414" t="s">
        <v>21</v>
      </c>
      <c r="E414">
        <v>9519.09</v>
      </c>
      <c r="F414">
        <v>20</v>
      </c>
      <c r="G414" t="s">
        <v>29</v>
      </c>
      <c r="H414">
        <v>2985.63</v>
      </c>
      <c r="I414">
        <v>3452.14</v>
      </c>
      <c r="J414" t="s">
        <v>30</v>
      </c>
      <c r="K414">
        <v>0.17</v>
      </c>
      <c r="L414" t="s">
        <v>31</v>
      </c>
      <c r="M414" t="s">
        <v>22</v>
      </c>
      <c r="N414" t="s">
        <v>37</v>
      </c>
      <c r="O414" t="str">
        <f t="shared" si="30"/>
        <v>May</v>
      </c>
      <c r="P414" t="str">
        <f t="shared" si="31"/>
        <v>Monday</v>
      </c>
      <c r="Q414">
        <f t="shared" si="32"/>
        <v>49561.458000000006</v>
      </c>
      <c r="R414">
        <f t="shared" si="33"/>
        <v>9330.1999999999953</v>
      </c>
      <c r="S414">
        <f t="shared" si="34"/>
        <v>7744.0659999999953</v>
      </c>
    </row>
    <row r="415" spans="1:19" x14ac:dyDescent="0.3">
      <c r="A415">
        <v>1099</v>
      </c>
      <c r="B415" s="1">
        <v>45267</v>
      </c>
      <c r="C415" t="s">
        <v>14</v>
      </c>
      <c r="D415" t="s">
        <v>34</v>
      </c>
      <c r="E415">
        <v>3043.18</v>
      </c>
      <c r="F415">
        <v>22</v>
      </c>
      <c r="G415" t="s">
        <v>16</v>
      </c>
      <c r="H415">
        <v>2471.67</v>
      </c>
      <c r="I415">
        <v>2533.04</v>
      </c>
      <c r="J415" t="s">
        <v>17</v>
      </c>
      <c r="K415">
        <v>0.02</v>
      </c>
      <c r="L415" t="s">
        <v>27</v>
      </c>
      <c r="M415" t="s">
        <v>22</v>
      </c>
      <c r="N415" t="s">
        <v>46</v>
      </c>
      <c r="O415" t="str">
        <f t="shared" si="30"/>
        <v>Dec</v>
      </c>
      <c r="P415" t="str">
        <f t="shared" si="31"/>
        <v>Thursday</v>
      </c>
      <c r="Q415">
        <f t="shared" si="32"/>
        <v>53289.205200000004</v>
      </c>
      <c r="R415">
        <f t="shared" si="33"/>
        <v>1350.1399999999976</v>
      </c>
      <c r="S415">
        <f t="shared" si="34"/>
        <v>1323.1371999999976</v>
      </c>
    </row>
    <row r="416" spans="1:19" x14ac:dyDescent="0.3">
      <c r="A416">
        <v>1050</v>
      </c>
      <c r="B416" s="1">
        <v>44968</v>
      </c>
      <c r="C416" t="s">
        <v>33</v>
      </c>
      <c r="D416" t="s">
        <v>21</v>
      </c>
      <c r="E416">
        <v>1011.46</v>
      </c>
      <c r="F416">
        <v>48</v>
      </c>
      <c r="G416" t="s">
        <v>16</v>
      </c>
      <c r="H416">
        <v>710.06</v>
      </c>
      <c r="I416">
        <v>851.349999999999</v>
      </c>
      <c r="J416" t="s">
        <v>17</v>
      </c>
      <c r="K416">
        <v>0.04</v>
      </c>
      <c r="L416" t="s">
        <v>27</v>
      </c>
      <c r="M416" t="s">
        <v>19</v>
      </c>
      <c r="N416" t="s">
        <v>37</v>
      </c>
      <c r="O416" t="str">
        <f t="shared" si="30"/>
        <v>Feb</v>
      </c>
      <c r="P416" t="str">
        <f t="shared" si="31"/>
        <v>Saturday</v>
      </c>
      <c r="Q416">
        <f t="shared" si="32"/>
        <v>32719.564799999996</v>
      </c>
      <c r="R416">
        <f t="shared" si="33"/>
        <v>6781.9199999999546</v>
      </c>
      <c r="S416">
        <f t="shared" si="34"/>
        <v>6510.6431999999559</v>
      </c>
    </row>
    <row r="417" spans="1:19"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c r="O417" t="str">
        <f t="shared" si="30"/>
        <v>Dec</v>
      </c>
      <c r="P417" t="str">
        <f t="shared" si="31"/>
        <v>Friday</v>
      </c>
      <c r="Q417">
        <f t="shared" si="32"/>
        <v>10867.6271</v>
      </c>
      <c r="R417">
        <f t="shared" si="33"/>
        <v>2913.899999999891</v>
      </c>
      <c r="S417">
        <f t="shared" si="34"/>
        <v>2301.9809999999138</v>
      </c>
    </row>
    <row r="418" spans="1:19" x14ac:dyDescent="0.3">
      <c r="A418">
        <v>1024</v>
      </c>
      <c r="B418" s="1">
        <v>44967</v>
      </c>
      <c r="C418" t="s">
        <v>24</v>
      </c>
      <c r="D418" t="s">
        <v>34</v>
      </c>
      <c r="E418">
        <v>6274.12</v>
      </c>
      <c r="F418">
        <v>13</v>
      </c>
      <c r="G418" t="s">
        <v>29</v>
      </c>
      <c r="H418">
        <v>1493.88</v>
      </c>
      <c r="I418">
        <v>1781.09</v>
      </c>
      <c r="J418" t="s">
        <v>30</v>
      </c>
      <c r="K418">
        <v>0.04</v>
      </c>
      <c r="L418" t="s">
        <v>18</v>
      </c>
      <c r="M418" t="s">
        <v>22</v>
      </c>
      <c r="N418" t="s">
        <v>50</v>
      </c>
      <c r="O418" t="str">
        <f t="shared" si="30"/>
        <v>Feb</v>
      </c>
      <c r="P418" t="str">
        <f t="shared" si="31"/>
        <v>Friday</v>
      </c>
      <c r="Q418">
        <f t="shared" si="32"/>
        <v>18643.6224</v>
      </c>
      <c r="R418">
        <f t="shared" si="33"/>
        <v>3733.7299999999977</v>
      </c>
      <c r="S418">
        <f t="shared" si="34"/>
        <v>3584.3807999999976</v>
      </c>
    </row>
    <row r="419" spans="1:19" x14ac:dyDescent="0.3">
      <c r="A419">
        <v>1013</v>
      </c>
      <c r="B419" s="1">
        <v>44960</v>
      </c>
      <c r="C419" t="s">
        <v>14</v>
      </c>
      <c r="D419" t="s">
        <v>15</v>
      </c>
      <c r="E419">
        <v>6520.2</v>
      </c>
      <c r="F419">
        <v>42</v>
      </c>
      <c r="G419" t="s">
        <v>29</v>
      </c>
      <c r="H419">
        <v>4625.33</v>
      </c>
      <c r="I419">
        <v>4642.83</v>
      </c>
      <c r="J419" t="s">
        <v>30</v>
      </c>
      <c r="K419">
        <v>0.19</v>
      </c>
      <c r="L419" t="s">
        <v>31</v>
      </c>
      <c r="M419" t="s">
        <v>19</v>
      </c>
      <c r="N419" t="s">
        <v>20</v>
      </c>
      <c r="O419" t="str">
        <f t="shared" si="30"/>
        <v>Feb</v>
      </c>
      <c r="P419" t="str">
        <f t="shared" si="31"/>
        <v>Friday</v>
      </c>
      <c r="Q419">
        <f t="shared" si="32"/>
        <v>157353.72659999999</v>
      </c>
      <c r="R419">
        <f t="shared" si="33"/>
        <v>735</v>
      </c>
      <c r="S419">
        <f t="shared" si="34"/>
        <v>595.35</v>
      </c>
    </row>
    <row r="420" spans="1:19"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c r="O420" t="str">
        <f t="shared" si="30"/>
        <v>Jan</v>
      </c>
      <c r="P420" t="str">
        <f t="shared" si="31"/>
        <v>Tuesday</v>
      </c>
      <c r="Q420">
        <f t="shared" si="32"/>
        <v>3499.8054000000002</v>
      </c>
      <c r="R420">
        <f t="shared" si="33"/>
        <v>1177.44</v>
      </c>
      <c r="S420">
        <f t="shared" si="34"/>
        <v>1153.8912</v>
      </c>
    </row>
    <row r="421" spans="1:19" x14ac:dyDescent="0.3">
      <c r="A421">
        <v>1007</v>
      </c>
      <c r="B421" s="1">
        <v>45091</v>
      </c>
      <c r="C421" t="s">
        <v>42</v>
      </c>
      <c r="D421" t="s">
        <v>15</v>
      </c>
      <c r="E421">
        <v>249.6</v>
      </c>
      <c r="F421">
        <v>9</v>
      </c>
      <c r="G421" t="s">
        <v>29</v>
      </c>
      <c r="H421">
        <v>1481.76</v>
      </c>
      <c r="I421">
        <v>1668.95</v>
      </c>
      <c r="J421" t="s">
        <v>17</v>
      </c>
      <c r="K421">
        <v>0.12</v>
      </c>
      <c r="L421" t="s">
        <v>31</v>
      </c>
      <c r="M421" t="s">
        <v>22</v>
      </c>
      <c r="N421" t="s">
        <v>49</v>
      </c>
      <c r="O421" t="str">
        <f t="shared" si="30"/>
        <v>Jun</v>
      </c>
      <c r="P421" t="str">
        <f t="shared" si="31"/>
        <v>Wednesday</v>
      </c>
      <c r="Q421">
        <f t="shared" si="32"/>
        <v>11735.539200000001</v>
      </c>
      <c r="R421">
        <f t="shared" si="33"/>
        <v>1684.7100000000005</v>
      </c>
      <c r="S421">
        <f t="shared" si="34"/>
        <v>1482.5448000000004</v>
      </c>
    </row>
    <row r="422" spans="1:19"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c r="O422" t="str">
        <f t="shared" si="30"/>
        <v>Jun</v>
      </c>
      <c r="P422" t="str">
        <f t="shared" si="31"/>
        <v>Friday</v>
      </c>
      <c r="Q422">
        <f t="shared" si="32"/>
        <v>21412.62</v>
      </c>
      <c r="R422">
        <f t="shared" si="33"/>
        <v>2509.7999999999984</v>
      </c>
      <c r="S422">
        <f t="shared" si="34"/>
        <v>2384.3099999999981</v>
      </c>
    </row>
    <row r="423" spans="1:19" x14ac:dyDescent="0.3">
      <c r="A423">
        <v>1036</v>
      </c>
      <c r="B423" s="1">
        <v>45002</v>
      </c>
      <c r="C423" t="s">
        <v>42</v>
      </c>
      <c r="D423" t="s">
        <v>34</v>
      </c>
      <c r="E423">
        <v>2583.84</v>
      </c>
      <c r="F423">
        <v>23</v>
      </c>
      <c r="G423" t="s">
        <v>26</v>
      </c>
      <c r="H423">
        <v>3335.53</v>
      </c>
      <c r="I423">
        <v>3742.12</v>
      </c>
      <c r="J423" t="s">
        <v>30</v>
      </c>
      <c r="K423">
        <v>0.03</v>
      </c>
      <c r="L423" t="s">
        <v>27</v>
      </c>
      <c r="M423" t="s">
        <v>22</v>
      </c>
      <c r="N423" t="s">
        <v>52</v>
      </c>
      <c r="O423" t="str">
        <f t="shared" si="30"/>
        <v>Mar</v>
      </c>
      <c r="P423" t="str">
        <f t="shared" si="31"/>
        <v>Friday</v>
      </c>
      <c r="Q423">
        <f t="shared" si="32"/>
        <v>74415.674299999999</v>
      </c>
      <c r="R423">
        <f t="shared" si="33"/>
        <v>9351.5699999999924</v>
      </c>
      <c r="S423">
        <f t="shared" si="34"/>
        <v>9071.0228999999927</v>
      </c>
    </row>
    <row r="424" spans="1:19" x14ac:dyDescent="0.3">
      <c r="A424">
        <v>1045</v>
      </c>
      <c r="B424" s="1">
        <v>45013</v>
      </c>
      <c r="C424" t="s">
        <v>38</v>
      </c>
      <c r="D424" t="s">
        <v>21</v>
      </c>
      <c r="E424">
        <v>6792.66</v>
      </c>
      <c r="F424">
        <v>14</v>
      </c>
      <c r="G424" t="s">
        <v>29</v>
      </c>
      <c r="H424">
        <v>635.28</v>
      </c>
      <c r="I424">
        <v>831.13</v>
      </c>
      <c r="J424" t="s">
        <v>17</v>
      </c>
      <c r="K424">
        <v>0.17</v>
      </c>
      <c r="L424" t="s">
        <v>27</v>
      </c>
      <c r="M424" t="s">
        <v>22</v>
      </c>
      <c r="N424" t="s">
        <v>41</v>
      </c>
      <c r="O424" t="str">
        <f t="shared" si="30"/>
        <v>Mar</v>
      </c>
      <c r="P424" t="str">
        <f t="shared" si="31"/>
        <v>Tuesday</v>
      </c>
      <c r="Q424">
        <f t="shared" si="32"/>
        <v>7381.9535999999998</v>
      </c>
      <c r="R424">
        <f t="shared" si="33"/>
        <v>2741.9000000000005</v>
      </c>
      <c r="S424">
        <f t="shared" si="34"/>
        <v>2275.7770000000005</v>
      </c>
    </row>
    <row r="425" spans="1:19"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c r="O425" t="str">
        <f t="shared" si="30"/>
        <v>Apr</v>
      </c>
      <c r="P425" t="str">
        <f t="shared" si="31"/>
        <v>Thursday</v>
      </c>
      <c r="Q425">
        <f t="shared" si="32"/>
        <v>113383.4328</v>
      </c>
      <c r="R425">
        <f t="shared" si="33"/>
        <v>1093.6200000000108</v>
      </c>
      <c r="S425">
        <f t="shared" si="34"/>
        <v>787.40640000000781</v>
      </c>
    </row>
    <row r="426" spans="1:19" x14ac:dyDescent="0.3">
      <c r="A426">
        <v>1065</v>
      </c>
      <c r="B426" s="1">
        <v>45288</v>
      </c>
      <c r="C426" t="s">
        <v>24</v>
      </c>
      <c r="D426" t="s">
        <v>21</v>
      </c>
      <c r="E426">
        <v>6139.07</v>
      </c>
      <c r="F426">
        <v>18</v>
      </c>
      <c r="G426" t="s">
        <v>26</v>
      </c>
      <c r="H426">
        <v>4334.58</v>
      </c>
      <c r="I426">
        <v>4431.04</v>
      </c>
      <c r="J426" t="s">
        <v>30</v>
      </c>
      <c r="K426">
        <v>0.02</v>
      </c>
      <c r="L426" t="s">
        <v>27</v>
      </c>
      <c r="M426" t="s">
        <v>22</v>
      </c>
      <c r="N426" t="s">
        <v>47</v>
      </c>
      <c r="O426" t="str">
        <f t="shared" si="30"/>
        <v>Dec</v>
      </c>
      <c r="P426" t="str">
        <f t="shared" si="31"/>
        <v>Thursday</v>
      </c>
      <c r="Q426">
        <f t="shared" si="32"/>
        <v>76461.991200000004</v>
      </c>
      <c r="R426">
        <f t="shared" si="33"/>
        <v>1736.2800000000007</v>
      </c>
      <c r="S426">
        <f t="shared" si="34"/>
        <v>1701.5544000000007</v>
      </c>
    </row>
    <row r="427" spans="1:19"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c r="O427" t="str">
        <f t="shared" si="30"/>
        <v>Dec</v>
      </c>
      <c r="P427" t="str">
        <f t="shared" si="31"/>
        <v>Friday</v>
      </c>
      <c r="Q427">
        <f t="shared" si="32"/>
        <v>123934.7886</v>
      </c>
      <c r="R427">
        <f t="shared" si="33"/>
        <v>23441.109999999528</v>
      </c>
      <c r="S427">
        <f t="shared" si="34"/>
        <v>20393.765699999589</v>
      </c>
    </row>
    <row r="428" spans="1:19" x14ac:dyDescent="0.3">
      <c r="A428">
        <v>1016</v>
      </c>
      <c r="B428" s="1">
        <v>44953</v>
      </c>
      <c r="C428" t="s">
        <v>38</v>
      </c>
      <c r="D428" t="s">
        <v>15</v>
      </c>
      <c r="E428">
        <v>2783.85</v>
      </c>
      <c r="F428">
        <v>41</v>
      </c>
      <c r="G428" t="s">
        <v>26</v>
      </c>
      <c r="H428">
        <v>3386.49</v>
      </c>
      <c r="I428">
        <v>3430.99</v>
      </c>
      <c r="J428" t="s">
        <v>30</v>
      </c>
      <c r="K428">
        <v>0.21</v>
      </c>
      <c r="L428" t="s">
        <v>27</v>
      </c>
      <c r="M428" t="s">
        <v>22</v>
      </c>
      <c r="N428" t="s">
        <v>40</v>
      </c>
      <c r="O428" t="str">
        <f t="shared" si="30"/>
        <v>Jan</v>
      </c>
      <c r="P428" t="str">
        <f t="shared" si="31"/>
        <v>Friday</v>
      </c>
      <c r="Q428">
        <f t="shared" si="32"/>
        <v>109688.4111</v>
      </c>
      <c r="R428">
        <f t="shared" si="33"/>
        <v>1824.5</v>
      </c>
      <c r="S428">
        <f t="shared" si="34"/>
        <v>1441.355</v>
      </c>
    </row>
    <row r="429" spans="1:19"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c r="O429" t="str">
        <f t="shared" si="30"/>
        <v>Nov</v>
      </c>
      <c r="P429" t="str">
        <f t="shared" si="31"/>
        <v>Thursday</v>
      </c>
      <c r="Q429">
        <f t="shared" si="32"/>
        <v>1025.3178</v>
      </c>
      <c r="R429">
        <f t="shared" si="33"/>
        <v>1655.28</v>
      </c>
      <c r="S429">
        <f t="shared" si="34"/>
        <v>1423.5408</v>
      </c>
    </row>
    <row r="430" spans="1:19" x14ac:dyDescent="0.3">
      <c r="A430">
        <v>1076</v>
      </c>
      <c r="B430" s="1">
        <v>45213</v>
      </c>
      <c r="C430" t="s">
        <v>33</v>
      </c>
      <c r="D430" t="s">
        <v>25</v>
      </c>
      <c r="E430">
        <v>8674.35</v>
      </c>
      <c r="F430">
        <v>23</v>
      </c>
      <c r="G430" t="s">
        <v>26</v>
      </c>
      <c r="H430">
        <v>1727.78</v>
      </c>
      <c r="I430">
        <v>1984.34</v>
      </c>
      <c r="J430" t="s">
        <v>17</v>
      </c>
      <c r="K430">
        <v>0.24</v>
      </c>
      <c r="L430" t="s">
        <v>27</v>
      </c>
      <c r="M430" t="s">
        <v>19</v>
      </c>
      <c r="N430" t="s">
        <v>44</v>
      </c>
      <c r="O430" t="str">
        <f t="shared" si="30"/>
        <v>Oct</v>
      </c>
      <c r="P430" t="str">
        <f t="shared" si="31"/>
        <v>Saturday</v>
      </c>
      <c r="Q430">
        <f t="shared" si="32"/>
        <v>30201.594400000002</v>
      </c>
      <c r="R430">
        <f t="shared" si="33"/>
        <v>5900.8799999999992</v>
      </c>
      <c r="S430">
        <f t="shared" si="34"/>
        <v>4484.6687999999995</v>
      </c>
    </row>
    <row r="431" spans="1:19"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c r="O431" t="str">
        <f t="shared" si="30"/>
        <v>May</v>
      </c>
      <c r="P431" t="str">
        <f t="shared" si="31"/>
        <v>Sunday</v>
      </c>
      <c r="Q431">
        <f t="shared" si="32"/>
        <v>37890.939999999995</v>
      </c>
      <c r="R431">
        <f t="shared" si="33"/>
        <v>2517.0999999999958</v>
      </c>
      <c r="S431">
        <f t="shared" si="34"/>
        <v>2391.2449999999958</v>
      </c>
    </row>
    <row r="432" spans="1:19"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c r="O432" t="str">
        <f t="shared" si="30"/>
        <v>Aug</v>
      </c>
      <c r="P432" t="str">
        <f t="shared" si="31"/>
        <v>Monday</v>
      </c>
      <c r="Q432">
        <f t="shared" si="32"/>
        <v>5848.4546</v>
      </c>
      <c r="R432">
        <f t="shared" si="33"/>
        <v>226.85999999999996</v>
      </c>
      <c r="S432">
        <f t="shared" si="34"/>
        <v>161.07059999999996</v>
      </c>
    </row>
    <row r="433" spans="1:19" x14ac:dyDescent="0.3">
      <c r="A433">
        <v>1092</v>
      </c>
      <c r="B433" s="1">
        <v>45094</v>
      </c>
      <c r="C433" t="s">
        <v>42</v>
      </c>
      <c r="D433" t="s">
        <v>34</v>
      </c>
      <c r="E433">
        <v>1632.8</v>
      </c>
      <c r="F433">
        <v>47</v>
      </c>
      <c r="G433" t="s">
        <v>16</v>
      </c>
      <c r="H433">
        <v>1447.45</v>
      </c>
      <c r="I433">
        <v>1703.02</v>
      </c>
      <c r="J433" t="s">
        <v>17</v>
      </c>
      <c r="K433">
        <v>0.12</v>
      </c>
      <c r="L433" t="s">
        <v>27</v>
      </c>
      <c r="M433" t="s">
        <v>22</v>
      </c>
      <c r="N433" t="s">
        <v>52</v>
      </c>
      <c r="O433" t="str">
        <f t="shared" si="30"/>
        <v>Jun</v>
      </c>
      <c r="P433" t="str">
        <f t="shared" si="31"/>
        <v>Saturday</v>
      </c>
      <c r="Q433">
        <f t="shared" si="32"/>
        <v>59866.532000000007</v>
      </c>
      <c r="R433">
        <f t="shared" si="33"/>
        <v>12011.789999999997</v>
      </c>
      <c r="S433">
        <f t="shared" si="34"/>
        <v>10570.375199999997</v>
      </c>
    </row>
    <row r="434" spans="1:19" x14ac:dyDescent="0.3">
      <c r="A434">
        <v>1098</v>
      </c>
      <c r="B434" s="1">
        <v>45024</v>
      </c>
      <c r="C434" t="s">
        <v>38</v>
      </c>
      <c r="D434" t="s">
        <v>15</v>
      </c>
      <c r="E434">
        <v>9452.89</v>
      </c>
      <c r="F434">
        <v>5</v>
      </c>
      <c r="G434" t="s">
        <v>35</v>
      </c>
      <c r="H434">
        <v>2947.22</v>
      </c>
      <c r="I434">
        <v>3145.27</v>
      </c>
      <c r="J434" t="s">
        <v>30</v>
      </c>
      <c r="K434">
        <v>0.1</v>
      </c>
      <c r="L434" t="s">
        <v>31</v>
      </c>
      <c r="M434" t="s">
        <v>22</v>
      </c>
      <c r="N434" t="s">
        <v>40</v>
      </c>
      <c r="O434" t="str">
        <f t="shared" si="30"/>
        <v>Apr</v>
      </c>
      <c r="P434" t="str">
        <f t="shared" si="31"/>
        <v>Saturday</v>
      </c>
      <c r="Q434">
        <f t="shared" si="32"/>
        <v>13262.49</v>
      </c>
      <c r="R434">
        <f t="shared" si="33"/>
        <v>990.25000000000091</v>
      </c>
      <c r="S434">
        <f t="shared" si="34"/>
        <v>891.22500000000082</v>
      </c>
    </row>
    <row r="435" spans="1:19" x14ac:dyDescent="0.3">
      <c r="A435">
        <v>1066</v>
      </c>
      <c r="B435" s="1">
        <v>45194</v>
      </c>
      <c r="C435" t="s">
        <v>38</v>
      </c>
      <c r="D435" t="s">
        <v>34</v>
      </c>
      <c r="E435">
        <v>7391.7</v>
      </c>
      <c r="F435">
        <v>47</v>
      </c>
      <c r="G435" t="s">
        <v>26</v>
      </c>
      <c r="H435">
        <v>1319.24</v>
      </c>
      <c r="I435">
        <v>1805.56</v>
      </c>
      <c r="J435" t="s">
        <v>30</v>
      </c>
      <c r="K435">
        <v>0.26</v>
      </c>
      <c r="L435" t="s">
        <v>31</v>
      </c>
      <c r="M435" t="s">
        <v>22</v>
      </c>
      <c r="N435" t="s">
        <v>48</v>
      </c>
      <c r="O435" t="str">
        <f t="shared" si="30"/>
        <v>Sep</v>
      </c>
      <c r="P435" t="str">
        <f t="shared" si="31"/>
        <v>Monday</v>
      </c>
      <c r="Q435">
        <f t="shared" si="32"/>
        <v>45883.167199999996</v>
      </c>
      <c r="R435">
        <f t="shared" si="33"/>
        <v>22857.039999999997</v>
      </c>
      <c r="S435">
        <f t="shared" si="34"/>
        <v>16914.209599999998</v>
      </c>
    </row>
    <row r="436" spans="1:19"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c r="O436" t="str">
        <f t="shared" si="30"/>
        <v>Aug</v>
      </c>
      <c r="P436" t="str">
        <f t="shared" si="31"/>
        <v>Friday</v>
      </c>
      <c r="Q436">
        <f t="shared" si="32"/>
        <v>89211.19709999999</v>
      </c>
      <c r="R436">
        <f t="shared" si="33"/>
        <v>2023.7699999997858</v>
      </c>
      <c r="S436">
        <f t="shared" si="34"/>
        <v>1679.7290999998222</v>
      </c>
    </row>
    <row r="437" spans="1:19" x14ac:dyDescent="0.3">
      <c r="A437">
        <v>1087</v>
      </c>
      <c r="B437" s="1">
        <v>45235</v>
      </c>
      <c r="C437" t="s">
        <v>38</v>
      </c>
      <c r="D437" t="s">
        <v>34</v>
      </c>
      <c r="E437">
        <v>2106.06</v>
      </c>
      <c r="F437">
        <v>30</v>
      </c>
      <c r="G437" t="s">
        <v>35</v>
      </c>
      <c r="H437">
        <v>698.74</v>
      </c>
      <c r="I437">
        <v>882.28</v>
      </c>
      <c r="J437" t="s">
        <v>17</v>
      </c>
      <c r="K437">
        <v>0.15</v>
      </c>
      <c r="L437" t="s">
        <v>31</v>
      </c>
      <c r="M437" t="s">
        <v>19</v>
      </c>
      <c r="N437" t="s">
        <v>48</v>
      </c>
      <c r="O437" t="str">
        <f t="shared" si="30"/>
        <v>Nov</v>
      </c>
      <c r="P437" t="str">
        <f t="shared" si="31"/>
        <v>Sunday</v>
      </c>
      <c r="Q437">
        <f t="shared" si="32"/>
        <v>17817.87</v>
      </c>
      <c r="R437">
        <f t="shared" si="33"/>
        <v>5506.1999999999989</v>
      </c>
      <c r="S437">
        <f t="shared" si="34"/>
        <v>4680.2699999999986</v>
      </c>
    </row>
    <row r="438" spans="1:19" x14ac:dyDescent="0.3">
      <c r="A438">
        <v>1063</v>
      </c>
      <c r="B438" s="1">
        <v>45099</v>
      </c>
      <c r="C438" t="s">
        <v>14</v>
      </c>
      <c r="D438" t="s">
        <v>25</v>
      </c>
      <c r="E438">
        <v>5917.1</v>
      </c>
      <c r="F438">
        <v>25</v>
      </c>
      <c r="G438" t="s">
        <v>35</v>
      </c>
      <c r="H438">
        <v>3997.1</v>
      </c>
      <c r="I438">
        <v>4212.6499999999996</v>
      </c>
      <c r="J438" t="s">
        <v>30</v>
      </c>
      <c r="K438">
        <v>0.22</v>
      </c>
      <c r="L438" t="s">
        <v>18</v>
      </c>
      <c r="M438" t="s">
        <v>19</v>
      </c>
      <c r="N438" t="s">
        <v>32</v>
      </c>
      <c r="O438" t="str">
        <f t="shared" si="30"/>
        <v>Jun</v>
      </c>
      <c r="P438" t="str">
        <f t="shared" si="31"/>
        <v>Thursday</v>
      </c>
      <c r="Q438">
        <f t="shared" si="32"/>
        <v>77943.45</v>
      </c>
      <c r="R438">
        <f t="shared" si="33"/>
        <v>5388.7499999999927</v>
      </c>
      <c r="S438">
        <f t="shared" si="34"/>
        <v>4203.2249999999949</v>
      </c>
    </row>
    <row r="439" spans="1:19" x14ac:dyDescent="0.3">
      <c r="A439">
        <v>1086</v>
      </c>
      <c r="B439" s="1">
        <v>45116</v>
      </c>
      <c r="C439" t="s">
        <v>24</v>
      </c>
      <c r="D439" t="s">
        <v>15</v>
      </c>
      <c r="E439">
        <v>7041.28</v>
      </c>
      <c r="F439">
        <v>28</v>
      </c>
      <c r="G439" t="s">
        <v>26</v>
      </c>
      <c r="H439">
        <v>2564.35</v>
      </c>
      <c r="I439">
        <v>2765.79</v>
      </c>
      <c r="J439" t="s">
        <v>17</v>
      </c>
      <c r="K439">
        <v>0.17</v>
      </c>
      <c r="L439" t="s">
        <v>31</v>
      </c>
      <c r="M439" t="s">
        <v>19</v>
      </c>
      <c r="N439" t="s">
        <v>45</v>
      </c>
      <c r="O439" t="str">
        <f t="shared" si="30"/>
        <v>Jul</v>
      </c>
      <c r="P439" t="str">
        <f t="shared" si="31"/>
        <v>Sunday</v>
      </c>
      <c r="Q439">
        <f t="shared" si="32"/>
        <v>59595.493999999999</v>
      </c>
      <c r="R439">
        <f t="shared" si="33"/>
        <v>5640.3200000000015</v>
      </c>
      <c r="S439">
        <f t="shared" si="34"/>
        <v>4681.4656000000014</v>
      </c>
    </row>
    <row r="440" spans="1:19"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c r="O440" t="str">
        <f t="shared" si="30"/>
        <v>May</v>
      </c>
      <c r="P440" t="str">
        <f t="shared" si="31"/>
        <v>Tuesday</v>
      </c>
      <c r="Q440">
        <f t="shared" si="32"/>
        <v>121581.72199999999</v>
      </c>
      <c r="R440">
        <f t="shared" si="33"/>
        <v>11432.839999999993</v>
      </c>
      <c r="S440">
        <f t="shared" si="34"/>
        <v>10861.197999999993</v>
      </c>
    </row>
    <row r="441" spans="1:19" x14ac:dyDescent="0.3">
      <c r="A441">
        <v>1025</v>
      </c>
      <c r="B441" s="1">
        <v>44972</v>
      </c>
      <c r="C441" t="s">
        <v>24</v>
      </c>
      <c r="D441" t="s">
        <v>25</v>
      </c>
      <c r="E441">
        <v>4140.7</v>
      </c>
      <c r="F441">
        <v>45</v>
      </c>
      <c r="G441" t="s">
        <v>29</v>
      </c>
      <c r="H441">
        <v>1588.04</v>
      </c>
      <c r="I441">
        <v>1703.6399999999901</v>
      </c>
      <c r="J441" t="s">
        <v>30</v>
      </c>
      <c r="K441">
        <v>0.2</v>
      </c>
      <c r="L441" t="s">
        <v>27</v>
      </c>
      <c r="M441" t="s">
        <v>22</v>
      </c>
      <c r="N441" t="s">
        <v>28</v>
      </c>
      <c r="O441" t="str">
        <f t="shared" si="30"/>
        <v>Feb</v>
      </c>
      <c r="P441" t="str">
        <f t="shared" si="31"/>
        <v>Wednesday</v>
      </c>
      <c r="Q441">
        <f t="shared" si="32"/>
        <v>57169.440000000002</v>
      </c>
      <c r="R441">
        <f t="shared" si="33"/>
        <v>5201.9999999995562</v>
      </c>
      <c r="S441">
        <f t="shared" si="34"/>
        <v>4161.5999999996448</v>
      </c>
    </row>
    <row r="442" spans="1:19"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c r="O442" t="str">
        <f t="shared" si="30"/>
        <v>Mar</v>
      </c>
      <c r="P442" t="str">
        <f t="shared" si="31"/>
        <v>Sunday</v>
      </c>
      <c r="Q442">
        <f t="shared" si="32"/>
        <v>119656.85759999999</v>
      </c>
      <c r="R442">
        <f t="shared" si="33"/>
        <v>5679.8399999995381</v>
      </c>
      <c r="S442">
        <f t="shared" si="34"/>
        <v>5452.6463999995567</v>
      </c>
    </row>
    <row r="443" spans="1:19"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c r="O443" t="str">
        <f t="shared" si="30"/>
        <v>May</v>
      </c>
      <c r="P443" t="str">
        <f t="shared" si="31"/>
        <v>Wednesday</v>
      </c>
      <c r="Q443">
        <f t="shared" si="32"/>
        <v>153286.3076</v>
      </c>
      <c r="R443">
        <f t="shared" si="33"/>
        <v>17263.570000000018</v>
      </c>
      <c r="S443">
        <f t="shared" si="34"/>
        <v>13120.313200000013</v>
      </c>
    </row>
    <row r="444" spans="1:19"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c r="O444" t="str">
        <f t="shared" si="30"/>
        <v>Nov</v>
      </c>
      <c r="P444" t="str">
        <f t="shared" si="31"/>
        <v>Monday</v>
      </c>
      <c r="Q444">
        <f t="shared" si="32"/>
        <v>41318.375</v>
      </c>
      <c r="R444">
        <f t="shared" si="33"/>
        <v>6378.4999999999964</v>
      </c>
      <c r="S444">
        <f t="shared" si="34"/>
        <v>4464.9499999999971</v>
      </c>
    </row>
    <row r="445" spans="1:19"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c r="O445" t="str">
        <f t="shared" si="30"/>
        <v>Dec</v>
      </c>
      <c r="P445" t="str">
        <f t="shared" si="31"/>
        <v>Friday</v>
      </c>
      <c r="Q445">
        <f t="shared" si="32"/>
        <v>16292.428999999998</v>
      </c>
      <c r="R445">
        <f t="shared" si="33"/>
        <v>2134.3000000000006</v>
      </c>
      <c r="S445">
        <f t="shared" si="34"/>
        <v>1899.5270000000005</v>
      </c>
    </row>
    <row r="446" spans="1:19"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c r="O446" t="str">
        <f t="shared" si="30"/>
        <v>Jul</v>
      </c>
      <c r="P446" t="str">
        <f t="shared" si="31"/>
        <v>Wednesday</v>
      </c>
      <c r="Q446">
        <f t="shared" si="32"/>
        <v>32934.354599999991</v>
      </c>
      <c r="R446">
        <f t="shared" si="33"/>
        <v>1300.7399999998643</v>
      </c>
      <c r="S446">
        <f t="shared" si="34"/>
        <v>1131.6437999998818</v>
      </c>
    </row>
    <row r="447" spans="1:19"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c r="O447" t="str">
        <f t="shared" si="30"/>
        <v>Nov</v>
      </c>
      <c r="P447" t="str">
        <f t="shared" si="31"/>
        <v>Friday</v>
      </c>
      <c r="Q447">
        <f t="shared" si="32"/>
        <v>149727.50099999999</v>
      </c>
      <c r="R447">
        <f t="shared" si="33"/>
        <v>4279.3799999995936</v>
      </c>
      <c r="S447">
        <f t="shared" si="34"/>
        <v>4236.5861999995977</v>
      </c>
    </row>
    <row r="448" spans="1:19" x14ac:dyDescent="0.3">
      <c r="A448">
        <v>1086</v>
      </c>
      <c r="B448" s="1">
        <v>45107</v>
      </c>
      <c r="C448" t="s">
        <v>14</v>
      </c>
      <c r="D448" t="s">
        <v>15</v>
      </c>
      <c r="E448">
        <v>8414.0400000000009</v>
      </c>
      <c r="F448">
        <v>46</v>
      </c>
      <c r="G448" t="s">
        <v>29</v>
      </c>
      <c r="H448">
        <v>2245.64</v>
      </c>
      <c r="I448">
        <v>2260.81</v>
      </c>
      <c r="J448" t="s">
        <v>30</v>
      </c>
      <c r="K448">
        <v>0</v>
      </c>
      <c r="L448" t="s">
        <v>18</v>
      </c>
      <c r="M448" t="s">
        <v>22</v>
      </c>
      <c r="N448" t="s">
        <v>20</v>
      </c>
      <c r="O448" t="str">
        <f t="shared" si="30"/>
        <v>Jun</v>
      </c>
      <c r="P448" t="str">
        <f t="shared" si="31"/>
        <v>Friday</v>
      </c>
      <c r="Q448">
        <f t="shared" si="32"/>
        <v>103299.43999999999</v>
      </c>
      <c r="R448">
        <f t="shared" si="33"/>
        <v>697.82000000000335</v>
      </c>
      <c r="S448">
        <f t="shared" si="34"/>
        <v>697.82000000000335</v>
      </c>
    </row>
    <row r="449" spans="1:19"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c r="O449" t="str">
        <f t="shared" si="30"/>
        <v>Oct</v>
      </c>
      <c r="P449" t="str">
        <f t="shared" si="31"/>
        <v>Thursday</v>
      </c>
      <c r="Q449">
        <f t="shared" si="32"/>
        <v>101464.70399999998</v>
      </c>
      <c r="R449">
        <f t="shared" si="33"/>
        <v>1644.0000000000055</v>
      </c>
      <c r="S449">
        <f t="shared" si="34"/>
        <v>1183.6800000000039</v>
      </c>
    </row>
    <row r="450" spans="1:19" x14ac:dyDescent="0.3">
      <c r="A450">
        <v>1052</v>
      </c>
      <c r="B450" s="1">
        <v>45208</v>
      </c>
      <c r="C450" t="s">
        <v>24</v>
      </c>
      <c r="D450" t="s">
        <v>21</v>
      </c>
      <c r="E450">
        <v>6757.36</v>
      </c>
      <c r="F450">
        <v>41</v>
      </c>
      <c r="G450" t="s">
        <v>35</v>
      </c>
      <c r="H450">
        <v>1509.98</v>
      </c>
      <c r="I450">
        <v>1792.83</v>
      </c>
      <c r="J450" t="s">
        <v>30</v>
      </c>
      <c r="K450">
        <v>0.04</v>
      </c>
      <c r="L450" t="s">
        <v>18</v>
      </c>
      <c r="M450" t="s">
        <v>22</v>
      </c>
      <c r="N450" t="s">
        <v>47</v>
      </c>
      <c r="O450" t="str">
        <f t="shared" si="30"/>
        <v>Oct</v>
      </c>
      <c r="P450" t="str">
        <f t="shared" si="31"/>
        <v>Monday</v>
      </c>
      <c r="Q450">
        <f t="shared" si="32"/>
        <v>59432.8128</v>
      </c>
      <c r="R450">
        <f t="shared" si="33"/>
        <v>11596.849999999997</v>
      </c>
      <c r="S450">
        <f t="shared" si="34"/>
        <v>11132.975999999997</v>
      </c>
    </row>
    <row r="451" spans="1:19"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c r="O451" t="str">
        <f t="shared" ref="O451:O514" si="35">TEXT(B451,"mmm")</f>
        <v>Jan</v>
      </c>
      <c r="P451" t="str">
        <f t="shared" ref="P451:P514" si="36">TEXT(B451,"dddd")</f>
        <v>Sunday</v>
      </c>
      <c r="Q451">
        <f t="shared" ref="Q451:Q514" si="37">(F451*H451)*(1-K451)</f>
        <v>52276.995000000003</v>
      </c>
      <c r="R451">
        <f t="shared" ref="R451:R514" si="38">(I451-H451)*F451</f>
        <v>11175.5</v>
      </c>
      <c r="S451">
        <f t="shared" ref="S451:S514" si="39">((I451-H451)*F451)*(1-K451)</f>
        <v>9722.6849999999995</v>
      </c>
    </row>
    <row r="452" spans="1:19" x14ac:dyDescent="0.3">
      <c r="A452">
        <v>1070</v>
      </c>
      <c r="B452" s="1">
        <v>45075</v>
      </c>
      <c r="C452" t="s">
        <v>33</v>
      </c>
      <c r="D452" t="s">
        <v>25</v>
      </c>
      <c r="E452">
        <v>1108.74</v>
      </c>
      <c r="F452">
        <v>14</v>
      </c>
      <c r="G452" t="s">
        <v>16</v>
      </c>
      <c r="H452">
        <v>3796.79</v>
      </c>
      <c r="I452">
        <v>3947.5</v>
      </c>
      <c r="J452" t="s">
        <v>17</v>
      </c>
      <c r="K452">
        <v>0.24</v>
      </c>
      <c r="L452" t="s">
        <v>27</v>
      </c>
      <c r="M452" t="s">
        <v>19</v>
      </c>
      <c r="N452" t="s">
        <v>44</v>
      </c>
      <c r="O452" t="str">
        <f t="shared" si="35"/>
        <v>May</v>
      </c>
      <c r="P452" t="str">
        <f t="shared" si="36"/>
        <v>Monday</v>
      </c>
      <c r="Q452">
        <f t="shared" si="37"/>
        <v>40397.845600000001</v>
      </c>
      <c r="R452">
        <f t="shared" si="38"/>
        <v>2109.9400000000005</v>
      </c>
      <c r="S452">
        <f t="shared" si="39"/>
        <v>1603.5544000000004</v>
      </c>
    </row>
    <row r="453" spans="1:19" x14ac:dyDescent="0.3">
      <c r="A453">
        <v>1015</v>
      </c>
      <c r="B453" s="1">
        <v>45193</v>
      </c>
      <c r="C453" t="s">
        <v>14</v>
      </c>
      <c r="D453" t="s">
        <v>34</v>
      </c>
      <c r="E453">
        <v>182.37</v>
      </c>
      <c r="F453">
        <v>35</v>
      </c>
      <c r="G453" t="s">
        <v>29</v>
      </c>
      <c r="H453">
        <v>3461.15</v>
      </c>
      <c r="I453">
        <v>3631.75</v>
      </c>
      <c r="J453" t="s">
        <v>17</v>
      </c>
      <c r="K453">
        <v>0.27</v>
      </c>
      <c r="L453" t="s">
        <v>31</v>
      </c>
      <c r="M453" t="s">
        <v>19</v>
      </c>
      <c r="N453" t="s">
        <v>46</v>
      </c>
      <c r="O453" t="str">
        <f t="shared" si="35"/>
        <v>Sep</v>
      </c>
      <c r="P453" t="str">
        <f t="shared" si="36"/>
        <v>Sunday</v>
      </c>
      <c r="Q453">
        <f t="shared" si="37"/>
        <v>88432.382499999992</v>
      </c>
      <c r="R453">
        <f t="shared" si="38"/>
        <v>5970.9999999999964</v>
      </c>
      <c r="S453">
        <f t="shared" si="39"/>
        <v>4358.8299999999972</v>
      </c>
    </row>
    <row r="454" spans="1:19"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c r="O454" t="str">
        <f t="shared" si="35"/>
        <v>Oct</v>
      </c>
      <c r="P454" t="str">
        <f t="shared" si="36"/>
        <v>Monday</v>
      </c>
      <c r="Q454">
        <f t="shared" si="37"/>
        <v>174384.8064</v>
      </c>
      <c r="R454">
        <f t="shared" si="38"/>
        <v>3199.1999999999825</v>
      </c>
      <c r="S454">
        <f t="shared" si="39"/>
        <v>2687.3279999999854</v>
      </c>
    </row>
    <row r="455" spans="1:19"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c r="O455" t="str">
        <f t="shared" si="35"/>
        <v>Jan</v>
      </c>
      <c r="P455" t="str">
        <f t="shared" si="36"/>
        <v>Wednesday</v>
      </c>
      <c r="Q455">
        <f t="shared" si="37"/>
        <v>140654.4062</v>
      </c>
      <c r="R455">
        <f t="shared" si="38"/>
        <v>6814.6200000000099</v>
      </c>
      <c r="S455">
        <f t="shared" si="39"/>
        <v>5656.1346000000076</v>
      </c>
    </row>
    <row r="456" spans="1:19"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c r="O456" t="str">
        <f t="shared" si="35"/>
        <v>Jun</v>
      </c>
      <c r="P456" t="str">
        <f t="shared" si="36"/>
        <v>Tuesday</v>
      </c>
      <c r="Q456">
        <f t="shared" si="37"/>
        <v>17303.600000000002</v>
      </c>
      <c r="R456">
        <f t="shared" si="38"/>
        <v>282.39999999990232</v>
      </c>
      <c r="S456">
        <f t="shared" si="39"/>
        <v>225.91999999992186</v>
      </c>
    </row>
    <row r="457" spans="1:19"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c r="O457" t="str">
        <f t="shared" si="35"/>
        <v>Apr</v>
      </c>
      <c r="P457" t="str">
        <f t="shared" si="36"/>
        <v>Sunday</v>
      </c>
      <c r="Q457">
        <f t="shared" si="37"/>
        <v>14914.97</v>
      </c>
      <c r="R457">
        <f t="shared" si="38"/>
        <v>16086.699999999997</v>
      </c>
      <c r="S457">
        <f t="shared" si="39"/>
        <v>11421.556999999997</v>
      </c>
    </row>
    <row r="458" spans="1:19" x14ac:dyDescent="0.3">
      <c r="A458">
        <v>1053</v>
      </c>
      <c r="B458" s="1">
        <v>45113</v>
      </c>
      <c r="C458" t="s">
        <v>33</v>
      </c>
      <c r="D458" t="s">
        <v>34</v>
      </c>
      <c r="E458">
        <v>4396.8100000000004</v>
      </c>
      <c r="F458">
        <v>11</v>
      </c>
      <c r="G458" t="s">
        <v>35</v>
      </c>
      <c r="H458">
        <v>200.56</v>
      </c>
      <c r="I458">
        <v>540.38</v>
      </c>
      <c r="J458" t="s">
        <v>30</v>
      </c>
      <c r="K458">
        <v>0.18</v>
      </c>
      <c r="L458" t="s">
        <v>27</v>
      </c>
      <c r="M458" t="s">
        <v>19</v>
      </c>
      <c r="N458" t="s">
        <v>36</v>
      </c>
      <c r="O458" t="str">
        <f t="shared" si="35"/>
        <v>Jul</v>
      </c>
      <c r="P458" t="str">
        <f t="shared" si="36"/>
        <v>Thursday</v>
      </c>
      <c r="Q458">
        <f t="shared" si="37"/>
        <v>1809.0512000000001</v>
      </c>
      <c r="R458">
        <f t="shared" si="38"/>
        <v>3738.02</v>
      </c>
      <c r="S458">
        <f t="shared" si="39"/>
        <v>3065.1764000000003</v>
      </c>
    </row>
    <row r="459" spans="1:19" x14ac:dyDescent="0.3">
      <c r="A459">
        <v>1060</v>
      </c>
      <c r="B459" s="1">
        <v>45221</v>
      </c>
      <c r="C459" t="s">
        <v>14</v>
      </c>
      <c r="D459" t="s">
        <v>15</v>
      </c>
      <c r="E459">
        <v>2661.25</v>
      </c>
      <c r="F459">
        <v>11</v>
      </c>
      <c r="G459" t="s">
        <v>16</v>
      </c>
      <c r="H459">
        <v>3648.04</v>
      </c>
      <c r="I459">
        <v>4143.51</v>
      </c>
      <c r="J459" t="s">
        <v>17</v>
      </c>
      <c r="K459">
        <v>0.17</v>
      </c>
      <c r="L459" t="s">
        <v>31</v>
      </c>
      <c r="M459" t="s">
        <v>22</v>
      </c>
      <c r="N459" t="s">
        <v>20</v>
      </c>
      <c r="O459" t="str">
        <f t="shared" si="35"/>
        <v>Oct</v>
      </c>
      <c r="P459" t="str">
        <f t="shared" si="36"/>
        <v>Sunday</v>
      </c>
      <c r="Q459">
        <f t="shared" si="37"/>
        <v>33306.605199999998</v>
      </c>
      <c r="R459">
        <f t="shared" si="38"/>
        <v>5450.1700000000028</v>
      </c>
      <c r="S459">
        <f t="shared" si="39"/>
        <v>4523.6411000000026</v>
      </c>
    </row>
    <row r="460" spans="1:19" x14ac:dyDescent="0.3">
      <c r="A460">
        <v>1005</v>
      </c>
      <c r="B460" s="1">
        <v>45158</v>
      </c>
      <c r="C460" t="s">
        <v>14</v>
      </c>
      <c r="D460" t="s">
        <v>15</v>
      </c>
      <c r="E460">
        <v>4400.59</v>
      </c>
      <c r="F460">
        <v>21</v>
      </c>
      <c r="G460" t="s">
        <v>26</v>
      </c>
      <c r="H460">
        <v>4376.37</v>
      </c>
      <c r="I460">
        <v>4818.95</v>
      </c>
      <c r="J460" t="s">
        <v>30</v>
      </c>
      <c r="K460">
        <v>0</v>
      </c>
      <c r="L460" t="s">
        <v>31</v>
      </c>
      <c r="M460" t="s">
        <v>22</v>
      </c>
      <c r="N460" t="s">
        <v>20</v>
      </c>
      <c r="O460" t="str">
        <f t="shared" si="35"/>
        <v>Aug</v>
      </c>
      <c r="P460" t="str">
        <f t="shared" si="36"/>
        <v>Sunday</v>
      </c>
      <c r="Q460">
        <f t="shared" si="37"/>
        <v>91903.77</v>
      </c>
      <c r="R460">
        <f t="shared" si="38"/>
        <v>9294.1799999999985</v>
      </c>
      <c r="S460">
        <f t="shared" si="39"/>
        <v>9294.1799999999985</v>
      </c>
    </row>
    <row r="461" spans="1:19" x14ac:dyDescent="0.3">
      <c r="A461">
        <v>1068</v>
      </c>
      <c r="B461" s="1">
        <v>45153</v>
      </c>
      <c r="C461" t="s">
        <v>42</v>
      </c>
      <c r="D461" t="s">
        <v>25</v>
      </c>
      <c r="E461">
        <v>7262.13</v>
      </c>
      <c r="F461">
        <v>21</v>
      </c>
      <c r="G461" t="s">
        <v>26</v>
      </c>
      <c r="H461">
        <v>1142.53</v>
      </c>
      <c r="I461">
        <v>1384.3</v>
      </c>
      <c r="J461" t="s">
        <v>17</v>
      </c>
      <c r="K461">
        <v>0.02</v>
      </c>
      <c r="L461" t="s">
        <v>31</v>
      </c>
      <c r="M461" t="s">
        <v>22</v>
      </c>
      <c r="N461" t="s">
        <v>43</v>
      </c>
      <c r="O461" t="str">
        <f t="shared" si="35"/>
        <v>Aug</v>
      </c>
      <c r="P461" t="str">
        <f t="shared" si="36"/>
        <v>Tuesday</v>
      </c>
      <c r="Q461">
        <f t="shared" si="37"/>
        <v>23513.267400000001</v>
      </c>
      <c r="R461">
        <f t="shared" si="38"/>
        <v>5077.17</v>
      </c>
      <c r="S461">
        <f t="shared" si="39"/>
        <v>4975.6265999999996</v>
      </c>
    </row>
    <row r="462" spans="1:19" x14ac:dyDescent="0.3">
      <c r="A462">
        <v>1006</v>
      </c>
      <c r="B462" s="1">
        <v>45236</v>
      </c>
      <c r="C462" t="s">
        <v>14</v>
      </c>
      <c r="D462" t="s">
        <v>25</v>
      </c>
      <c r="E462">
        <v>189.64</v>
      </c>
      <c r="F462">
        <v>22</v>
      </c>
      <c r="G462" t="s">
        <v>26</v>
      </c>
      <c r="H462">
        <v>834.32</v>
      </c>
      <c r="I462">
        <v>1098.97</v>
      </c>
      <c r="J462" t="s">
        <v>17</v>
      </c>
      <c r="K462">
        <v>0.17</v>
      </c>
      <c r="L462" t="s">
        <v>18</v>
      </c>
      <c r="M462" t="s">
        <v>19</v>
      </c>
      <c r="N462" t="s">
        <v>32</v>
      </c>
      <c r="O462" t="str">
        <f t="shared" si="35"/>
        <v>Nov</v>
      </c>
      <c r="P462" t="str">
        <f t="shared" si="36"/>
        <v>Monday</v>
      </c>
      <c r="Q462">
        <f t="shared" si="37"/>
        <v>15234.683199999999</v>
      </c>
      <c r="R462">
        <f t="shared" si="38"/>
        <v>5822.2999999999993</v>
      </c>
      <c r="S462">
        <f t="shared" si="39"/>
        <v>4832.5089999999991</v>
      </c>
    </row>
    <row r="463" spans="1:19"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c r="O463" t="str">
        <f t="shared" si="35"/>
        <v>Apr</v>
      </c>
      <c r="P463" t="str">
        <f t="shared" si="36"/>
        <v>Saturday</v>
      </c>
      <c r="Q463">
        <f t="shared" si="37"/>
        <v>11596.608</v>
      </c>
      <c r="R463">
        <f t="shared" si="38"/>
        <v>4652.0999999999995</v>
      </c>
      <c r="S463">
        <f t="shared" si="39"/>
        <v>3349.5119999999993</v>
      </c>
    </row>
    <row r="464" spans="1:19" x14ac:dyDescent="0.3">
      <c r="A464">
        <v>1094</v>
      </c>
      <c r="B464" s="1">
        <v>44981</v>
      </c>
      <c r="C464" t="s">
        <v>14</v>
      </c>
      <c r="D464" t="s">
        <v>21</v>
      </c>
      <c r="E464">
        <v>6171.59</v>
      </c>
      <c r="F464">
        <v>7</v>
      </c>
      <c r="G464" t="s">
        <v>16</v>
      </c>
      <c r="H464">
        <v>4122.38</v>
      </c>
      <c r="I464">
        <v>4358.78</v>
      </c>
      <c r="J464" t="s">
        <v>17</v>
      </c>
      <c r="K464">
        <v>0.26</v>
      </c>
      <c r="L464" t="s">
        <v>27</v>
      </c>
      <c r="M464" t="s">
        <v>22</v>
      </c>
      <c r="N464" t="s">
        <v>23</v>
      </c>
      <c r="O464" t="str">
        <f t="shared" si="35"/>
        <v>Feb</v>
      </c>
      <c r="P464" t="str">
        <f t="shared" si="36"/>
        <v>Friday</v>
      </c>
      <c r="Q464">
        <f t="shared" si="37"/>
        <v>21353.928400000001</v>
      </c>
      <c r="R464">
        <f t="shared" si="38"/>
        <v>1654.7999999999975</v>
      </c>
      <c r="S464">
        <f t="shared" si="39"/>
        <v>1224.5519999999981</v>
      </c>
    </row>
    <row r="465" spans="1:19"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c r="O465" t="str">
        <f t="shared" si="35"/>
        <v>Apr</v>
      </c>
      <c r="P465" t="str">
        <f t="shared" si="36"/>
        <v>Friday</v>
      </c>
      <c r="Q465">
        <f t="shared" si="37"/>
        <v>19207.4738</v>
      </c>
      <c r="R465">
        <f t="shared" si="38"/>
        <v>7692.16</v>
      </c>
      <c r="S465">
        <f t="shared" si="39"/>
        <v>5461.4335999999994</v>
      </c>
    </row>
    <row r="466" spans="1:19" x14ac:dyDescent="0.3">
      <c r="A466">
        <v>1099</v>
      </c>
      <c r="B466" s="1">
        <v>45078</v>
      </c>
      <c r="C466" t="s">
        <v>42</v>
      </c>
      <c r="D466" t="s">
        <v>25</v>
      </c>
      <c r="E466">
        <v>2496.02</v>
      </c>
      <c r="F466">
        <v>2</v>
      </c>
      <c r="G466" t="s">
        <v>35</v>
      </c>
      <c r="H466">
        <v>2038.4</v>
      </c>
      <c r="I466">
        <v>2073.3200000000002</v>
      </c>
      <c r="J466" t="s">
        <v>30</v>
      </c>
      <c r="K466">
        <v>0.16</v>
      </c>
      <c r="L466" t="s">
        <v>18</v>
      </c>
      <c r="M466" t="s">
        <v>22</v>
      </c>
      <c r="N466" t="s">
        <v>43</v>
      </c>
      <c r="O466" t="str">
        <f t="shared" si="35"/>
        <v>Jun</v>
      </c>
      <c r="P466" t="str">
        <f t="shared" si="36"/>
        <v>Thursday</v>
      </c>
      <c r="Q466">
        <f t="shared" si="37"/>
        <v>3424.5120000000002</v>
      </c>
      <c r="R466">
        <f t="shared" si="38"/>
        <v>69.840000000000146</v>
      </c>
      <c r="S466">
        <f t="shared" si="39"/>
        <v>58.665600000000119</v>
      </c>
    </row>
    <row r="467" spans="1:19" x14ac:dyDescent="0.3">
      <c r="A467">
        <v>1055</v>
      </c>
      <c r="B467" s="1">
        <v>45172</v>
      </c>
      <c r="C467" t="s">
        <v>33</v>
      </c>
      <c r="D467" t="s">
        <v>21</v>
      </c>
      <c r="E467">
        <v>7169.12</v>
      </c>
      <c r="F467">
        <v>12</v>
      </c>
      <c r="G467" t="s">
        <v>35</v>
      </c>
      <c r="H467">
        <v>2538.61</v>
      </c>
      <c r="I467">
        <v>2971.75</v>
      </c>
      <c r="J467" t="s">
        <v>17</v>
      </c>
      <c r="K467">
        <v>0.24</v>
      </c>
      <c r="L467" t="s">
        <v>18</v>
      </c>
      <c r="M467" t="s">
        <v>19</v>
      </c>
      <c r="N467" t="s">
        <v>37</v>
      </c>
      <c r="O467" t="str">
        <f t="shared" si="35"/>
        <v>Sep</v>
      </c>
      <c r="P467" t="str">
        <f t="shared" si="36"/>
        <v>Sunday</v>
      </c>
      <c r="Q467">
        <f t="shared" si="37"/>
        <v>23152.123200000002</v>
      </c>
      <c r="R467">
        <f t="shared" si="38"/>
        <v>5197.6799999999985</v>
      </c>
      <c r="S467">
        <f t="shared" si="39"/>
        <v>3950.2367999999988</v>
      </c>
    </row>
    <row r="468" spans="1:19"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c r="O468" t="str">
        <f t="shared" si="35"/>
        <v>Mar</v>
      </c>
      <c r="P468" t="str">
        <f t="shared" si="36"/>
        <v>Friday</v>
      </c>
      <c r="Q468">
        <f t="shared" si="37"/>
        <v>132466.63500000001</v>
      </c>
      <c r="R468">
        <f t="shared" si="38"/>
        <v>7436.5200000000168</v>
      </c>
      <c r="S468">
        <f t="shared" si="39"/>
        <v>5577.3900000000122</v>
      </c>
    </row>
    <row r="469" spans="1:19"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c r="O469" t="str">
        <f t="shared" si="35"/>
        <v>Nov</v>
      </c>
      <c r="P469" t="str">
        <f t="shared" si="36"/>
        <v>Wednesday</v>
      </c>
      <c r="Q469">
        <f t="shared" si="37"/>
        <v>47700.219599999997</v>
      </c>
      <c r="R469">
        <f t="shared" si="38"/>
        <v>8113.6800000000039</v>
      </c>
      <c r="S469">
        <f t="shared" si="39"/>
        <v>6572.0808000000034</v>
      </c>
    </row>
    <row r="470" spans="1:19" x14ac:dyDescent="0.3">
      <c r="A470">
        <v>1016</v>
      </c>
      <c r="B470" s="1">
        <v>45215</v>
      </c>
      <c r="C470" t="s">
        <v>38</v>
      </c>
      <c r="D470" t="s">
        <v>21</v>
      </c>
      <c r="E470">
        <v>8786.9500000000007</v>
      </c>
      <c r="F470">
        <v>11</v>
      </c>
      <c r="G470" t="s">
        <v>35</v>
      </c>
      <c r="H470">
        <v>3094.57</v>
      </c>
      <c r="I470">
        <v>3565.6</v>
      </c>
      <c r="J470" t="s">
        <v>17</v>
      </c>
      <c r="K470">
        <v>0.1</v>
      </c>
      <c r="L470" t="s">
        <v>31</v>
      </c>
      <c r="M470" t="s">
        <v>22</v>
      </c>
      <c r="N470" t="s">
        <v>41</v>
      </c>
      <c r="O470" t="str">
        <f t="shared" si="35"/>
        <v>Oct</v>
      </c>
      <c r="P470" t="str">
        <f t="shared" si="36"/>
        <v>Monday</v>
      </c>
      <c r="Q470">
        <f t="shared" si="37"/>
        <v>30636.243000000006</v>
      </c>
      <c r="R470">
        <f t="shared" si="38"/>
        <v>5181.3299999999972</v>
      </c>
      <c r="S470">
        <f t="shared" si="39"/>
        <v>4663.1969999999974</v>
      </c>
    </row>
    <row r="471" spans="1:19"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c r="O471" t="str">
        <f t="shared" si="35"/>
        <v>Sep</v>
      </c>
      <c r="P471" t="str">
        <f t="shared" si="36"/>
        <v>Thursday</v>
      </c>
      <c r="Q471">
        <f t="shared" si="37"/>
        <v>12653.4208</v>
      </c>
      <c r="R471">
        <f t="shared" si="38"/>
        <v>5419.5199999999986</v>
      </c>
      <c r="S471">
        <f t="shared" si="39"/>
        <v>4660.7871999999988</v>
      </c>
    </row>
    <row r="472" spans="1:19" x14ac:dyDescent="0.3">
      <c r="A472">
        <v>1030</v>
      </c>
      <c r="B472" s="1">
        <v>44962</v>
      </c>
      <c r="C472" t="s">
        <v>24</v>
      </c>
      <c r="D472" t="s">
        <v>34</v>
      </c>
      <c r="E472">
        <v>236.08</v>
      </c>
      <c r="F472">
        <v>49</v>
      </c>
      <c r="G472" t="s">
        <v>16</v>
      </c>
      <c r="H472">
        <v>2590.29</v>
      </c>
      <c r="I472">
        <v>2925.86</v>
      </c>
      <c r="J472" t="s">
        <v>17</v>
      </c>
      <c r="K472">
        <v>0.26</v>
      </c>
      <c r="L472" t="s">
        <v>18</v>
      </c>
      <c r="M472" t="s">
        <v>22</v>
      </c>
      <c r="N472" t="s">
        <v>50</v>
      </c>
      <c r="O472" t="str">
        <f t="shared" si="35"/>
        <v>Feb</v>
      </c>
      <c r="P472" t="str">
        <f t="shared" si="36"/>
        <v>Sunday</v>
      </c>
      <c r="Q472">
        <f t="shared" si="37"/>
        <v>93923.915399999998</v>
      </c>
      <c r="R472">
        <f t="shared" si="38"/>
        <v>16442.930000000008</v>
      </c>
      <c r="S472">
        <f t="shared" si="39"/>
        <v>12167.768200000006</v>
      </c>
    </row>
    <row r="473" spans="1:19" x14ac:dyDescent="0.3">
      <c r="A473">
        <v>1019</v>
      </c>
      <c r="B473" s="1">
        <v>45165</v>
      </c>
      <c r="C473" t="s">
        <v>33</v>
      </c>
      <c r="D473" t="s">
        <v>15</v>
      </c>
      <c r="E473">
        <v>2558.92</v>
      </c>
      <c r="F473">
        <v>18</v>
      </c>
      <c r="G473" t="s">
        <v>26</v>
      </c>
      <c r="H473">
        <v>3591.14</v>
      </c>
      <c r="I473">
        <v>3822.99</v>
      </c>
      <c r="J473" t="s">
        <v>17</v>
      </c>
      <c r="K473">
        <v>0.09</v>
      </c>
      <c r="L473" t="s">
        <v>31</v>
      </c>
      <c r="M473" t="s">
        <v>19</v>
      </c>
      <c r="N473" t="s">
        <v>53</v>
      </c>
      <c r="O473" t="str">
        <f t="shared" si="35"/>
        <v>Aug</v>
      </c>
      <c r="P473" t="str">
        <f t="shared" si="36"/>
        <v>Sunday</v>
      </c>
      <c r="Q473">
        <f t="shared" si="37"/>
        <v>58822.873200000002</v>
      </c>
      <c r="R473">
        <f t="shared" si="38"/>
        <v>4173.2999999999984</v>
      </c>
      <c r="S473">
        <f t="shared" si="39"/>
        <v>3797.7029999999986</v>
      </c>
    </row>
    <row r="474" spans="1:19"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c r="O474" t="str">
        <f t="shared" si="35"/>
        <v>May</v>
      </c>
      <c r="P474" t="str">
        <f t="shared" si="36"/>
        <v>Sunday</v>
      </c>
      <c r="Q474">
        <f t="shared" si="37"/>
        <v>122664.52800000001</v>
      </c>
      <c r="R474">
        <f t="shared" si="38"/>
        <v>14679.349999999995</v>
      </c>
      <c r="S474">
        <f t="shared" si="39"/>
        <v>10569.131999999996</v>
      </c>
    </row>
    <row r="475" spans="1:19"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c r="O475" t="str">
        <f t="shared" si="35"/>
        <v>Aug</v>
      </c>
      <c r="P475" t="str">
        <f t="shared" si="36"/>
        <v>Tuesday</v>
      </c>
      <c r="Q475">
        <f t="shared" si="37"/>
        <v>25315.492799999996</v>
      </c>
      <c r="R475">
        <f t="shared" si="38"/>
        <v>12510.940000000002</v>
      </c>
      <c r="S475">
        <f t="shared" si="39"/>
        <v>11635.174200000001</v>
      </c>
    </row>
    <row r="476" spans="1:19" x14ac:dyDescent="0.3">
      <c r="A476">
        <v>1019</v>
      </c>
      <c r="B476" s="1">
        <v>45170</v>
      </c>
      <c r="C476" t="s">
        <v>24</v>
      </c>
      <c r="D476" t="s">
        <v>21</v>
      </c>
      <c r="E476">
        <v>2550.84</v>
      </c>
      <c r="F476">
        <v>16</v>
      </c>
      <c r="G476" t="s">
        <v>29</v>
      </c>
      <c r="H476">
        <v>97.24</v>
      </c>
      <c r="I476">
        <v>487.03</v>
      </c>
      <c r="J476" t="s">
        <v>30</v>
      </c>
      <c r="K476">
        <v>0.22</v>
      </c>
      <c r="L476" t="s">
        <v>27</v>
      </c>
      <c r="M476" t="s">
        <v>22</v>
      </c>
      <c r="N476" t="s">
        <v>47</v>
      </c>
      <c r="O476" t="str">
        <f t="shared" si="35"/>
        <v>Sep</v>
      </c>
      <c r="P476" t="str">
        <f t="shared" si="36"/>
        <v>Friday</v>
      </c>
      <c r="Q476">
        <f t="shared" si="37"/>
        <v>1213.5552</v>
      </c>
      <c r="R476">
        <f t="shared" si="38"/>
        <v>6236.6399999999994</v>
      </c>
      <c r="S476">
        <f t="shared" si="39"/>
        <v>4864.5792000000001</v>
      </c>
    </row>
    <row r="477" spans="1:19" x14ac:dyDescent="0.3">
      <c r="A477">
        <v>1092</v>
      </c>
      <c r="B477" s="1">
        <v>45263</v>
      </c>
      <c r="C477" t="s">
        <v>24</v>
      </c>
      <c r="D477" t="s">
        <v>34</v>
      </c>
      <c r="E477">
        <v>719.01</v>
      </c>
      <c r="F477">
        <v>6</v>
      </c>
      <c r="G477" t="s">
        <v>29</v>
      </c>
      <c r="H477">
        <v>422.74</v>
      </c>
      <c r="I477">
        <v>737.49</v>
      </c>
      <c r="J477" t="s">
        <v>17</v>
      </c>
      <c r="K477">
        <v>0.19</v>
      </c>
      <c r="L477" t="s">
        <v>31</v>
      </c>
      <c r="M477" t="s">
        <v>22</v>
      </c>
      <c r="N477" t="s">
        <v>50</v>
      </c>
      <c r="O477" t="str">
        <f t="shared" si="35"/>
        <v>Dec</v>
      </c>
      <c r="P477" t="str">
        <f t="shared" si="36"/>
        <v>Sunday</v>
      </c>
      <c r="Q477">
        <f t="shared" si="37"/>
        <v>2054.5164</v>
      </c>
      <c r="R477">
        <f t="shared" si="38"/>
        <v>1888.5</v>
      </c>
      <c r="S477">
        <f t="shared" si="39"/>
        <v>1529.6850000000002</v>
      </c>
    </row>
    <row r="478" spans="1:19"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c r="O478" t="str">
        <f t="shared" si="35"/>
        <v>Dec</v>
      </c>
      <c r="P478" t="str">
        <f t="shared" si="36"/>
        <v>Sunday</v>
      </c>
      <c r="Q478">
        <f t="shared" si="37"/>
        <v>65567.330400000006</v>
      </c>
      <c r="R478">
        <f t="shared" si="38"/>
        <v>13522.520000000008</v>
      </c>
      <c r="S478">
        <f t="shared" si="39"/>
        <v>10547.565600000007</v>
      </c>
    </row>
    <row r="479" spans="1:19"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c r="O479" t="str">
        <f t="shared" si="35"/>
        <v>Jul</v>
      </c>
      <c r="P479" t="str">
        <f t="shared" si="36"/>
        <v>Thursday</v>
      </c>
      <c r="Q479">
        <f t="shared" si="37"/>
        <v>153818.69700000001</v>
      </c>
      <c r="R479">
        <f t="shared" si="38"/>
        <v>18328.319999999992</v>
      </c>
      <c r="S479">
        <f t="shared" si="39"/>
        <v>15945.638399999993</v>
      </c>
    </row>
    <row r="480" spans="1:19"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c r="O480" t="str">
        <f t="shared" si="35"/>
        <v>Jun</v>
      </c>
      <c r="P480" t="str">
        <f t="shared" si="36"/>
        <v>Saturday</v>
      </c>
      <c r="Q480">
        <f t="shared" si="37"/>
        <v>2888.2439999999997</v>
      </c>
      <c r="R480">
        <f t="shared" si="38"/>
        <v>12933.929999999955</v>
      </c>
      <c r="S480">
        <f t="shared" si="39"/>
        <v>9312.4295999999667</v>
      </c>
    </row>
    <row r="481" spans="1:19"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c r="O481" t="str">
        <f t="shared" si="35"/>
        <v>Mar</v>
      </c>
      <c r="P481" t="str">
        <f t="shared" si="36"/>
        <v>Tuesday</v>
      </c>
      <c r="Q481">
        <f t="shared" si="37"/>
        <v>87972.917400000006</v>
      </c>
      <c r="R481">
        <f t="shared" si="38"/>
        <v>18982.829999999994</v>
      </c>
      <c r="S481">
        <f t="shared" si="39"/>
        <v>15376.092299999997</v>
      </c>
    </row>
    <row r="482" spans="1:19" x14ac:dyDescent="0.3">
      <c r="A482">
        <v>1062</v>
      </c>
      <c r="B482" s="1">
        <v>45127</v>
      </c>
      <c r="C482" t="s">
        <v>38</v>
      </c>
      <c r="D482" t="s">
        <v>15</v>
      </c>
      <c r="E482">
        <v>903.38</v>
      </c>
      <c r="F482">
        <v>48</v>
      </c>
      <c r="G482" t="s">
        <v>35</v>
      </c>
      <c r="H482">
        <v>1679.69</v>
      </c>
      <c r="I482">
        <v>1939.04</v>
      </c>
      <c r="J482" t="s">
        <v>30</v>
      </c>
      <c r="K482">
        <v>0.09</v>
      </c>
      <c r="L482" t="s">
        <v>31</v>
      </c>
      <c r="M482" t="s">
        <v>19</v>
      </c>
      <c r="N482" t="s">
        <v>40</v>
      </c>
      <c r="O482" t="str">
        <f t="shared" si="35"/>
        <v>Jul</v>
      </c>
      <c r="P482" t="str">
        <f t="shared" si="36"/>
        <v>Thursday</v>
      </c>
      <c r="Q482">
        <f t="shared" si="37"/>
        <v>73368.859199999992</v>
      </c>
      <c r="R482">
        <f t="shared" si="38"/>
        <v>12448.799999999996</v>
      </c>
      <c r="S482">
        <f t="shared" si="39"/>
        <v>11328.407999999996</v>
      </c>
    </row>
    <row r="483" spans="1:19"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c r="O483" t="str">
        <f t="shared" si="35"/>
        <v>Oct</v>
      </c>
      <c r="P483" t="str">
        <f t="shared" si="36"/>
        <v>Monday</v>
      </c>
      <c r="Q483">
        <f t="shared" si="37"/>
        <v>10538.7156</v>
      </c>
      <c r="R483">
        <f t="shared" si="38"/>
        <v>1705.200000000001</v>
      </c>
      <c r="S483">
        <f t="shared" si="39"/>
        <v>1381.2120000000009</v>
      </c>
    </row>
    <row r="484" spans="1:19"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c r="O484" t="str">
        <f t="shared" si="35"/>
        <v>Jan</v>
      </c>
      <c r="P484" t="str">
        <f t="shared" si="36"/>
        <v>Tuesday</v>
      </c>
      <c r="Q484">
        <f t="shared" si="37"/>
        <v>24883.076400000002</v>
      </c>
      <c r="R484">
        <f t="shared" si="38"/>
        <v>2377.5600000000013</v>
      </c>
      <c r="S484">
        <f t="shared" si="39"/>
        <v>2163.5796000000014</v>
      </c>
    </row>
    <row r="485" spans="1:19" x14ac:dyDescent="0.3">
      <c r="A485">
        <v>1012</v>
      </c>
      <c r="B485" s="1">
        <v>45055</v>
      </c>
      <c r="C485" t="s">
        <v>24</v>
      </c>
      <c r="D485" t="s">
        <v>21</v>
      </c>
      <c r="E485">
        <v>8070.39</v>
      </c>
      <c r="F485">
        <v>13</v>
      </c>
      <c r="G485" t="s">
        <v>26</v>
      </c>
      <c r="H485">
        <v>1311.01</v>
      </c>
      <c r="I485">
        <v>1538.79</v>
      </c>
      <c r="J485" t="s">
        <v>17</v>
      </c>
      <c r="K485">
        <v>0.09</v>
      </c>
      <c r="L485" t="s">
        <v>27</v>
      </c>
      <c r="M485" t="s">
        <v>22</v>
      </c>
      <c r="N485" t="s">
        <v>47</v>
      </c>
      <c r="O485" t="str">
        <f t="shared" si="35"/>
        <v>May</v>
      </c>
      <c r="P485" t="str">
        <f t="shared" si="36"/>
        <v>Tuesday</v>
      </c>
      <c r="Q485">
        <f t="shared" si="37"/>
        <v>15509.248300000001</v>
      </c>
      <c r="R485">
        <f t="shared" si="38"/>
        <v>2961.1399999999994</v>
      </c>
      <c r="S485">
        <f t="shared" si="39"/>
        <v>2694.6373999999996</v>
      </c>
    </row>
    <row r="486" spans="1:19"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c r="O486" t="str">
        <f t="shared" si="35"/>
        <v>Aug</v>
      </c>
      <c r="P486" t="str">
        <f t="shared" si="36"/>
        <v>Saturday</v>
      </c>
      <c r="Q486">
        <f t="shared" si="37"/>
        <v>6307.2415999999994</v>
      </c>
      <c r="R486">
        <f t="shared" si="38"/>
        <v>317.5600000000004</v>
      </c>
      <c r="S486">
        <f t="shared" si="39"/>
        <v>279.45280000000037</v>
      </c>
    </row>
    <row r="487" spans="1:19" x14ac:dyDescent="0.3">
      <c r="A487">
        <v>1058</v>
      </c>
      <c r="B487" s="1">
        <v>44987</v>
      </c>
      <c r="C487" t="s">
        <v>38</v>
      </c>
      <c r="D487" t="s">
        <v>21</v>
      </c>
      <c r="E487">
        <v>9333.83</v>
      </c>
      <c r="F487">
        <v>39</v>
      </c>
      <c r="G487" t="s">
        <v>26</v>
      </c>
      <c r="H487">
        <v>3542.8</v>
      </c>
      <c r="I487">
        <v>3603.02</v>
      </c>
      <c r="J487" t="s">
        <v>17</v>
      </c>
      <c r="K487">
        <v>0.26</v>
      </c>
      <c r="L487" t="s">
        <v>18</v>
      </c>
      <c r="M487" t="s">
        <v>19</v>
      </c>
      <c r="N487" t="s">
        <v>41</v>
      </c>
      <c r="O487" t="str">
        <f t="shared" si="35"/>
        <v>Mar</v>
      </c>
      <c r="P487" t="str">
        <f t="shared" si="36"/>
        <v>Thursday</v>
      </c>
      <c r="Q487">
        <f t="shared" si="37"/>
        <v>102245.20800000001</v>
      </c>
      <c r="R487">
        <f t="shared" si="38"/>
        <v>2348.5799999999922</v>
      </c>
      <c r="S487">
        <f t="shared" si="39"/>
        <v>1737.9491999999941</v>
      </c>
    </row>
    <row r="488" spans="1:19" x14ac:dyDescent="0.3">
      <c r="A488">
        <v>1001</v>
      </c>
      <c r="B488" s="1">
        <v>45030</v>
      </c>
      <c r="C488" t="s">
        <v>24</v>
      </c>
      <c r="D488" t="s">
        <v>34</v>
      </c>
      <c r="E488">
        <v>5488.11</v>
      </c>
      <c r="F488">
        <v>2</v>
      </c>
      <c r="G488" t="s">
        <v>35</v>
      </c>
      <c r="H488">
        <v>2631.68</v>
      </c>
      <c r="I488">
        <v>2904.06</v>
      </c>
      <c r="J488" t="s">
        <v>30</v>
      </c>
      <c r="K488">
        <v>0.15</v>
      </c>
      <c r="L488" t="s">
        <v>27</v>
      </c>
      <c r="M488" t="s">
        <v>19</v>
      </c>
      <c r="N488" t="s">
        <v>50</v>
      </c>
      <c r="O488" t="str">
        <f t="shared" si="35"/>
        <v>Apr</v>
      </c>
      <c r="P488" t="str">
        <f t="shared" si="36"/>
        <v>Friday</v>
      </c>
      <c r="Q488">
        <f t="shared" si="37"/>
        <v>4473.8559999999998</v>
      </c>
      <c r="R488">
        <f t="shared" si="38"/>
        <v>544.76000000000022</v>
      </c>
      <c r="S488">
        <f t="shared" si="39"/>
        <v>463.04600000000016</v>
      </c>
    </row>
    <row r="489" spans="1:19" x14ac:dyDescent="0.3">
      <c r="A489">
        <v>1034</v>
      </c>
      <c r="B489" s="1">
        <v>44968</v>
      </c>
      <c r="C489" t="s">
        <v>38</v>
      </c>
      <c r="D489" t="s">
        <v>25</v>
      </c>
      <c r="E489">
        <v>2082.79</v>
      </c>
      <c r="F489">
        <v>26</v>
      </c>
      <c r="G489" t="s">
        <v>35</v>
      </c>
      <c r="H489">
        <v>667</v>
      </c>
      <c r="I489">
        <v>718.72</v>
      </c>
      <c r="J489" t="s">
        <v>30</v>
      </c>
      <c r="K489">
        <v>0.2</v>
      </c>
      <c r="L489" t="s">
        <v>18</v>
      </c>
      <c r="M489" t="s">
        <v>22</v>
      </c>
      <c r="N489" t="s">
        <v>39</v>
      </c>
      <c r="O489" t="str">
        <f t="shared" si="35"/>
        <v>Feb</v>
      </c>
      <c r="P489" t="str">
        <f t="shared" si="36"/>
        <v>Saturday</v>
      </c>
      <c r="Q489">
        <f t="shared" si="37"/>
        <v>13873.6</v>
      </c>
      <c r="R489">
        <f t="shared" si="38"/>
        <v>1344.7200000000007</v>
      </c>
      <c r="S489">
        <f t="shared" si="39"/>
        <v>1075.7760000000005</v>
      </c>
    </row>
    <row r="490" spans="1:19" x14ac:dyDescent="0.3">
      <c r="A490">
        <v>1096</v>
      </c>
      <c r="B490" s="1">
        <v>44951</v>
      </c>
      <c r="C490" t="s">
        <v>33</v>
      </c>
      <c r="D490" t="s">
        <v>21</v>
      </c>
      <c r="E490">
        <v>6206.16</v>
      </c>
      <c r="F490">
        <v>27</v>
      </c>
      <c r="G490" t="s">
        <v>29</v>
      </c>
      <c r="H490">
        <v>4809</v>
      </c>
      <c r="I490">
        <v>4967.4399999999996</v>
      </c>
      <c r="J490" t="s">
        <v>30</v>
      </c>
      <c r="K490">
        <v>0.12</v>
      </c>
      <c r="L490" t="s">
        <v>18</v>
      </c>
      <c r="M490" t="s">
        <v>19</v>
      </c>
      <c r="N490" t="s">
        <v>37</v>
      </c>
      <c r="O490" t="str">
        <f t="shared" si="35"/>
        <v>Jan</v>
      </c>
      <c r="P490" t="str">
        <f t="shared" si="36"/>
        <v>Wednesday</v>
      </c>
      <c r="Q490">
        <f t="shared" si="37"/>
        <v>114261.84</v>
      </c>
      <c r="R490">
        <f t="shared" si="38"/>
        <v>4277.8799999999892</v>
      </c>
      <c r="S490">
        <f t="shared" si="39"/>
        <v>3764.5343999999905</v>
      </c>
    </row>
    <row r="491" spans="1:19" x14ac:dyDescent="0.3">
      <c r="A491">
        <v>1048</v>
      </c>
      <c r="B491" s="1">
        <v>44965</v>
      </c>
      <c r="C491" t="s">
        <v>33</v>
      </c>
      <c r="D491" t="s">
        <v>21</v>
      </c>
      <c r="E491">
        <v>7454.53</v>
      </c>
      <c r="F491">
        <v>27</v>
      </c>
      <c r="G491" t="s">
        <v>29</v>
      </c>
      <c r="H491">
        <v>3197.76</v>
      </c>
      <c r="I491">
        <v>3572.61</v>
      </c>
      <c r="J491" t="s">
        <v>17</v>
      </c>
      <c r="K491">
        <v>0.08</v>
      </c>
      <c r="L491" t="s">
        <v>31</v>
      </c>
      <c r="M491" t="s">
        <v>19</v>
      </c>
      <c r="N491" t="s">
        <v>37</v>
      </c>
      <c r="O491" t="str">
        <f t="shared" si="35"/>
        <v>Feb</v>
      </c>
      <c r="P491" t="str">
        <f t="shared" si="36"/>
        <v>Wednesday</v>
      </c>
      <c r="Q491">
        <f t="shared" si="37"/>
        <v>79432.358400000012</v>
      </c>
      <c r="R491">
        <f t="shared" si="38"/>
        <v>10120.949999999997</v>
      </c>
      <c r="S491">
        <f t="shared" si="39"/>
        <v>9311.2739999999976</v>
      </c>
    </row>
    <row r="492" spans="1:19"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c r="O492" t="str">
        <f t="shared" si="35"/>
        <v>Oct</v>
      </c>
      <c r="P492" t="str">
        <f t="shared" si="36"/>
        <v>Wednesday</v>
      </c>
      <c r="Q492">
        <f t="shared" si="37"/>
        <v>40907.182499999995</v>
      </c>
      <c r="R492">
        <f t="shared" si="38"/>
        <v>7238.5499999999956</v>
      </c>
      <c r="S492">
        <f t="shared" si="39"/>
        <v>5139.3704999999964</v>
      </c>
    </row>
    <row r="493" spans="1:19" x14ac:dyDescent="0.3">
      <c r="A493">
        <v>1001</v>
      </c>
      <c r="B493" s="1">
        <v>45057</v>
      </c>
      <c r="C493" t="s">
        <v>38</v>
      </c>
      <c r="D493" t="s">
        <v>34</v>
      </c>
      <c r="E493">
        <v>5262.35</v>
      </c>
      <c r="F493">
        <v>8</v>
      </c>
      <c r="G493" t="s">
        <v>29</v>
      </c>
      <c r="H493">
        <v>442.11</v>
      </c>
      <c r="I493">
        <v>803.87</v>
      </c>
      <c r="J493" t="s">
        <v>30</v>
      </c>
      <c r="K493">
        <v>0.18</v>
      </c>
      <c r="L493" t="s">
        <v>18</v>
      </c>
      <c r="M493" t="s">
        <v>22</v>
      </c>
      <c r="N493" t="s">
        <v>48</v>
      </c>
      <c r="O493" t="str">
        <f t="shared" si="35"/>
        <v>May</v>
      </c>
      <c r="P493" t="str">
        <f t="shared" si="36"/>
        <v>Thursday</v>
      </c>
      <c r="Q493">
        <f t="shared" si="37"/>
        <v>2900.2416000000003</v>
      </c>
      <c r="R493">
        <f t="shared" si="38"/>
        <v>2894.08</v>
      </c>
      <c r="S493">
        <f t="shared" si="39"/>
        <v>2373.1456000000003</v>
      </c>
    </row>
    <row r="494" spans="1:19"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c r="O494" t="str">
        <f t="shared" si="35"/>
        <v>Aug</v>
      </c>
      <c r="P494" t="str">
        <f t="shared" si="36"/>
        <v>Thursday</v>
      </c>
      <c r="Q494">
        <f t="shared" si="37"/>
        <v>1426.0175999999999</v>
      </c>
      <c r="R494">
        <f t="shared" si="38"/>
        <v>3474.7299999999932</v>
      </c>
      <c r="S494">
        <f t="shared" si="39"/>
        <v>2501.8055999999951</v>
      </c>
    </row>
    <row r="495" spans="1:19"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c r="O495" t="str">
        <f t="shared" si="35"/>
        <v>Apr</v>
      </c>
      <c r="P495" t="str">
        <f t="shared" si="36"/>
        <v>Tuesday</v>
      </c>
      <c r="Q495">
        <f t="shared" si="37"/>
        <v>6462.2085999999999</v>
      </c>
      <c r="R495">
        <f t="shared" si="38"/>
        <v>16552.929999999997</v>
      </c>
      <c r="S495">
        <f t="shared" si="39"/>
        <v>15559.754199999996</v>
      </c>
    </row>
    <row r="496" spans="1:19" x14ac:dyDescent="0.3">
      <c r="A496">
        <v>1064</v>
      </c>
      <c r="B496" s="1">
        <v>45098</v>
      </c>
      <c r="C496" t="s">
        <v>14</v>
      </c>
      <c r="D496" t="s">
        <v>21</v>
      </c>
      <c r="E496">
        <v>9215.59</v>
      </c>
      <c r="F496">
        <v>46</v>
      </c>
      <c r="G496" t="s">
        <v>35</v>
      </c>
      <c r="H496">
        <v>984.53</v>
      </c>
      <c r="I496">
        <v>1138.49</v>
      </c>
      <c r="J496" t="s">
        <v>30</v>
      </c>
      <c r="K496">
        <v>0.04</v>
      </c>
      <c r="L496" t="s">
        <v>27</v>
      </c>
      <c r="M496" t="s">
        <v>19</v>
      </c>
      <c r="N496" t="s">
        <v>23</v>
      </c>
      <c r="O496" t="str">
        <f t="shared" si="35"/>
        <v>Jun</v>
      </c>
      <c r="P496" t="str">
        <f t="shared" si="36"/>
        <v>Wednesday</v>
      </c>
      <c r="Q496">
        <f t="shared" si="37"/>
        <v>43476.844799999999</v>
      </c>
      <c r="R496">
        <f t="shared" si="38"/>
        <v>7082.1600000000017</v>
      </c>
      <c r="S496">
        <f t="shared" si="39"/>
        <v>6798.8736000000017</v>
      </c>
    </row>
    <row r="497" spans="1:19"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c r="O497" t="str">
        <f t="shared" si="35"/>
        <v>Apr</v>
      </c>
      <c r="P497" t="str">
        <f t="shared" si="36"/>
        <v>Wednesday</v>
      </c>
      <c r="Q497">
        <f t="shared" si="37"/>
        <v>62199.072</v>
      </c>
      <c r="R497">
        <f t="shared" si="38"/>
        <v>13572.399999999998</v>
      </c>
      <c r="S497">
        <f t="shared" si="39"/>
        <v>10043.575999999999</v>
      </c>
    </row>
    <row r="498" spans="1:19"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c r="O498" t="str">
        <f t="shared" si="35"/>
        <v>Dec</v>
      </c>
      <c r="P498" t="str">
        <f t="shared" si="36"/>
        <v>Wednesday</v>
      </c>
      <c r="Q498">
        <f t="shared" si="37"/>
        <v>44950.464000000007</v>
      </c>
      <c r="R498">
        <f t="shared" si="38"/>
        <v>4248.7199999999939</v>
      </c>
      <c r="S498">
        <f t="shared" si="39"/>
        <v>3398.9759999999951</v>
      </c>
    </row>
    <row r="499" spans="1:19"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c r="O499" t="str">
        <f t="shared" si="35"/>
        <v>Jan</v>
      </c>
      <c r="P499" t="str">
        <f t="shared" si="36"/>
        <v>Thursday</v>
      </c>
      <c r="Q499">
        <f t="shared" si="37"/>
        <v>28258.138999999996</v>
      </c>
      <c r="R499">
        <f t="shared" si="38"/>
        <v>2497.9500000000012</v>
      </c>
      <c r="S499">
        <f t="shared" si="39"/>
        <v>2348.0730000000008</v>
      </c>
    </row>
    <row r="500" spans="1:19" x14ac:dyDescent="0.3">
      <c r="A500">
        <v>1093</v>
      </c>
      <c r="B500" s="1">
        <v>45201</v>
      </c>
      <c r="C500" t="s">
        <v>14</v>
      </c>
      <c r="D500" t="s">
        <v>21</v>
      </c>
      <c r="E500">
        <v>3747.64</v>
      </c>
      <c r="F500">
        <v>43</v>
      </c>
      <c r="G500" t="s">
        <v>35</v>
      </c>
      <c r="H500">
        <v>1486.76</v>
      </c>
      <c r="I500">
        <v>1505.44</v>
      </c>
      <c r="J500" t="s">
        <v>30</v>
      </c>
      <c r="K500">
        <v>0.08</v>
      </c>
      <c r="L500" t="s">
        <v>18</v>
      </c>
      <c r="M500" t="s">
        <v>22</v>
      </c>
      <c r="N500" t="s">
        <v>23</v>
      </c>
      <c r="O500" t="str">
        <f t="shared" si="35"/>
        <v>Oct</v>
      </c>
      <c r="P500" t="str">
        <f t="shared" si="36"/>
        <v>Monday</v>
      </c>
      <c r="Q500">
        <f t="shared" si="37"/>
        <v>58816.225600000005</v>
      </c>
      <c r="R500">
        <f t="shared" si="38"/>
        <v>803.24000000000274</v>
      </c>
      <c r="S500">
        <f t="shared" si="39"/>
        <v>738.98080000000255</v>
      </c>
    </row>
    <row r="501" spans="1:19" x14ac:dyDescent="0.3">
      <c r="A501">
        <v>1067</v>
      </c>
      <c r="B501" s="1">
        <v>45027</v>
      </c>
      <c r="C501" t="s">
        <v>14</v>
      </c>
      <c r="D501" t="s">
        <v>34</v>
      </c>
      <c r="E501">
        <v>8963.93</v>
      </c>
      <c r="F501">
        <v>17</v>
      </c>
      <c r="G501" t="s">
        <v>26</v>
      </c>
      <c r="H501">
        <v>2831.58</v>
      </c>
      <c r="I501">
        <v>3186.15</v>
      </c>
      <c r="J501" t="s">
        <v>30</v>
      </c>
      <c r="K501">
        <v>0.24</v>
      </c>
      <c r="L501" t="s">
        <v>27</v>
      </c>
      <c r="M501" t="s">
        <v>22</v>
      </c>
      <c r="N501" t="s">
        <v>46</v>
      </c>
      <c r="O501" t="str">
        <f t="shared" si="35"/>
        <v>Apr</v>
      </c>
      <c r="P501" t="str">
        <f t="shared" si="36"/>
        <v>Tuesday</v>
      </c>
      <c r="Q501">
        <f t="shared" si="37"/>
        <v>36584.013599999998</v>
      </c>
      <c r="R501">
        <f t="shared" si="38"/>
        <v>6027.6900000000023</v>
      </c>
      <c r="S501">
        <f t="shared" si="39"/>
        <v>4581.0444000000016</v>
      </c>
    </row>
    <row r="502" spans="1:19"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c r="O502" t="str">
        <f t="shared" si="35"/>
        <v>Feb</v>
      </c>
      <c r="P502" t="str">
        <f t="shared" si="36"/>
        <v>Monday</v>
      </c>
      <c r="Q502">
        <f t="shared" si="37"/>
        <v>8831.6496000000006</v>
      </c>
      <c r="R502">
        <f t="shared" si="38"/>
        <v>350.70999999999992</v>
      </c>
      <c r="S502">
        <f t="shared" si="39"/>
        <v>301.61059999999992</v>
      </c>
    </row>
    <row r="503" spans="1:19" x14ac:dyDescent="0.3">
      <c r="A503">
        <v>1026</v>
      </c>
      <c r="B503" s="1">
        <v>45231</v>
      </c>
      <c r="C503" t="s">
        <v>42</v>
      </c>
      <c r="D503" t="s">
        <v>25</v>
      </c>
      <c r="E503">
        <v>7895.13</v>
      </c>
      <c r="F503">
        <v>36</v>
      </c>
      <c r="G503" t="s">
        <v>29</v>
      </c>
      <c r="H503">
        <v>3067.05</v>
      </c>
      <c r="I503">
        <v>3386.33</v>
      </c>
      <c r="J503" t="s">
        <v>30</v>
      </c>
      <c r="K503">
        <v>0.2</v>
      </c>
      <c r="L503" t="s">
        <v>27</v>
      </c>
      <c r="M503" t="s">
        <v>19</v>
      </c>
      <c r="N503" t="s">
        <v>43</v>
      </c>
      <c r="O503" t="str">
        <f t="shared" si="35"/>
        <v>Nov</v>
      </c>
      <c r="P503" t="str">
        <f t="shared" si="36"/>
        <v>Wednesday</v>
      </c>
      <c r="Q503">
        <f t="shared" si="37"/>
        <v>88331.040000000008</v>
      </c>
      <c r="R503">
        <f t="shared" si="38"/>
        <v>11494.079999999991</v>
      </c>
      <c r="S503">
        <f t="shared" si="39"/>
        <v>9195.2639999999938</v>
      </c>
    </row>
    <row r="504" spans="1:19"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c r="O504" t="str">
        <f t="shared" si="35"/>
        <v>Jan</v>
      </c>
      <c r="P504" t="str">
        <f t="shared" si="36"/>
        <v>Tuesday</v>
      </c>
      <c r="Q504">
        <f t="shared" si="37"/>
        <v>54124.685999999994</v>
      </c>
      <c r="R504">
        <f t="shared" si="38"/>
        <v>1893.5700000000015</v>
      </c>
      <c r="S504">
        <f t="shared" si="39"/>
        <v>1704.2130000000013</v>
      </c>
    </row>
    <row r="505" spans="1:19"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c r="O505" t="str">
        <f t="shared" si="35"/>
        <v>Nov</v>
      </c>
      <c r="P505" t="str">
        <f t="shared" si="36"/>
        <v>Sunday</v>
      </c>
      <c r="Q505">
        <f t="shared" si="37"/>
        <v>28269.0344</v>
      </c>
      <c r="R505">
        <f t="shared" si="38"/>
        <v>2297.1999999999243</v>
      </c>
      <c r="S505">
        <f t="shared" si="39"/>
        <v>2044.5079999999327</v>
      </c>
    </row>
    <row r="506" spans="1:19"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c r="O506" t="str">
        <f t="shared" si="35"/>
        <v>Feb</v>
      </c>
      <c r="P506" t="str">
        <f t="shared" si="36"/>
        <v>Sunday</v>
      </c>
      <c r="Q506">
        <f t="shared" si="37"/>
        <v>17269.349999999999</v>
      </c>
      <c r="R506">
        <f t="shared" si="38"/>
        <v>1284.6000000000004</v>
      </c>
      <c r="S506">
        <f t="shared" si="39"/>
        <v>899.22000000000014</v>
      </c>
    </row>
    <row r="507" spans="1:19"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c r="O507" t="str">
        <f t="shared" si="35"/>
        <v>Nov</v>
      </c>
      <c r="P507" t="str">
        <f t="shared" si="36"/>
        <v>Tuesday</v>
      </c>
      <c r="Q507">
        <f t="shared" si="37"/>
        <v>31236.207599999998</v>
      </c>
      <c r="R507">
        <f t="shared" si="38"/>
        <v>432.11999999974296</v>
      </c>
      <c r="S507">
        <f t="shared" si="39"/>
        <v>401.87159999976092</v>
      </c>
    </row>
    <row r="508" spans="1:19"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c r="O508" t="str">
        <f t="shared" si="35"/>
        <v>Oct</v>
      </c>
      <c r="P508" t="str">
        <f t="shared" si="36"/>
        <v>Monday</v>
      </c>
      <c r="Q508">
        <f t="shared" si="37"/>
        <v>34990.080000000002</v>
      </c>
      <c r="R508">
        <f t="shared" si="38"/>
        <v>3004.7999999999956</v>
      </c>
      <c r="S508">
        <f t="shared" si="39"/>
        <v>2554.0799999999963</v>
      </c>
    </row>
    <row r="509" spans="1:19" x14ac:dyDescent="0.3">
      <c r="A509">
        <v>1078</v>
      </c>
      <c r="B509" s="1">
        <v>44938</v>
      </c>
      <c r="C509" t="s">
        <v>38</v>
      </c>
      <c r="D509" t="s">
        <v>34</v>
      </c>
      <c r="E509">
        <v>4481.2</v>
      </c>
      <c r="F509">
        <v>36</v>
      </c>
      <c r="G509" t="s">
        <v>26</v>
      </c>
      <c r="H509">
        <v>4548.88</v>
      </c>
      <c r="I509">
        <v>4853.41</v>
      </c>
      <c r="J509" t="s">
        <v>17</v>
      </c>
      <c r="K509">
        <v>0.25</v>
      </c>
      <c r="L509" t="s">
        <v>31</v>
      </c>
      <c r="M509" t="s">
        <v>22</v>
      </c>
      <c r="N509" t="s">
        <v>48</v>
      </c>
      <c r="O509" t="str">
        <f t="shared" si="35"/>
        <v>Jan</v>
      </c>
      <c r="P509" t="str">
        <f t="shared" si="36"/>
        <v>Thursday</v>
      </c>
      <c r="Q509">
        <f t="shared" si="37"/>
        <v>122819.76</v>
      </c>
      <c r="R509">
        <f t="shared" si="38"/>
        <v>10963.079999999991</v>
      </c>
      <c r="S509">
        <f t="shared" si="39"/>
        <v>8222.309999999994</v>
      </c>
    </row>
    <row r="510" spans="1:19"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c r="O510" t="str">
        <f t="shared" si="35"/>
        <v>Nov</v>
      </c>
      <c r="P510" t="str">
        <f t="shared" si="36"/>
        <v>Tuesday</v>
      </c>
      <c r="Q510">
        <f t="shared" si="37"/>
        <v>102511.40760000001</v>
      </c>
      <c r="R510">
        <f t="shared" si="38"/>
        <v>11922.960000000005</v>
      </c>
      <c r="S510">
        <f t="shared" si="39"/>
        <v>11088.352800000004</v>
      </c>
    </row>
    <row r="511" spans="1:19"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c r="O511" t="str">
        <f t="shared" si="35"/>
        <v>Mar</v>
      </c>
      <c r="P511" t="str">
        <f t="shared" si="36"/>
        <v>Tuesday</v>
      </c>
      <c r="Q511">
        <f t="shared" si="37"/>
        <v>62847.083200000001</v>
      </c>
      <c r="R511">
        <f t="shared" si="38"/>
        <v>12917.469999999717</v>
      </c>
      <c r="S511">
        <f t="shared" si="39"/>
        <v>11367.373599999752</v>
      </c>
    </row>
    <row r="512" spans="1:19" x14ac:dyDescent="0.3">
      <c r="A512">
        <v>1047</v>
      </c>
      <c r="B512" s="1">
        <v>45142</v>
      </c>
      <c r="C512" t="s">
        <v>38</v>
      </c>
      <c r="D512" t="s">
        <v>25</v>
      </c>
      <c r="E512">
        <v>733.66</v>
      </c>
      <c r="F512">
        <v>47</v>
      </c>
      <c r="G512" t="s">
        <v>29</v>
      </c>
      <c r="H512">
        <v>4729.59</v>
      </c>
      <c r="I512">
        <v>4976.68</v>
      </c>
      <c r="J512" t="s">
        <v>17</v>
      </c>
      <c r="K512">
        <v>0.18</v>
      </c>
      <c r="L512" t="s">
        <v>31</v>
      </c>
      <c r="M512" t="s">
        <v>22</v>
      </c>
      <c r="N512" t="s">
        <v>39</v>
      </c>
      <c r="O512" t="str">
        <f t="shared" si="35"/>
        <v>Aug</v>
      </c>
      <c r="P512" t="str">
        <f t="shared" si="36"/>
        <v>Friday</v>
      </c>
      <c r="Q512">
        <f t="shared" si="37"/>
        <v>182278.39860000001</v>
      </c>
      <c r="R512">
        <f t="shared" si="38"/>
        <v>11613.230000000007</v>
      </c>
      <c r="S512">
        <f t="shared" si="39"/>
        <v>9522.8486000000066</v>
      </c>
    </row>
    <row r="513" spans="1:19"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c r="O513" t="str">
        <f t="shared" si="35"/>
        <v>Dec</v>
      </c>
      <c r="P513" t="str">
        <f t="shared" si="36"/>
        <v>Tuesday</v>
      </c>
      <c r="Q513">
        <f t="shared" si="37"/>
        <v>3439.8624</v>
      </c>
      <c r="R513">
        <f t="shared" si="38"/>
        <v>4403.16</v>
      </c>
      <c r="S513">
        <f t="shared" si="39"/>
        <v>3786.7175999999999</v>
      </c>
    </row>
    <row r="514" spans="1:19"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c r="O514" t="str">
        <f t="shared" si="35"/>
        <v>Sep</v>
      </c>
      <c r="P514" t="str">
        <f t="shared" si="36"/>
        <v>Thursday</v>
      </c>
      <c r="Q514">
        <f t="shared" si="37"/>
        <v>148231.56080000001</v>
      </c>
      <c r="R514">
        <f t="shared" si="38"/>
        <v>6107.2200000000148</v>
      </c>
      <c r="S514">
        <f t="shared" si="39"/>
        <v>5252.209200000013</v>
      </c>
    </row>
    <row r="515" spans="1:19" x14ac:dyDescent="0.3">
      <c r="A515">
        <v>1069</v>
      </c>
      <c r="B515" s="1">
        <v>45075</v>
      </c>
      <c r="C515" t="s">
        <v>42</v>
      </c>
      <c r="D515" t="s">
        <v>15</v>
      </c>
      <c r="E515">
        <v>4494.8</v>
      </c>
      <c r="F515">
        <v>30</v>
      </c>
      <c r="G515" t="s">
        <v>35</v>
      </c>
      <c r="H515">
        <v>300.01</v>
      </c>
      <c r="I515">
        <v>477.67999999999898</v>
      </c>
      <c r="J515" t="s">
        <v>30</v>
      </c>
      <c r="K515">
        <v>0.11</v>
      </c>
      <c r="L515" t="s">
        <v>27</v>
      </c>
      <c r="M515" t="s">
        <v>22</v>
      </c>
      <c r="N515" t="s">
        <v>49</v>
      </c>
      <c r="O515" t="str">
        <f t="shared" ref="O515:O578" si="40">TEXT(B515,"mmm")</f>
        <v>May</v>
      </c>
      <c r="P515" t="str">
        <f t="shared" ref="P515:P578" si="41">TEXT(B515,"dddd")</f>
        <v>Monday</v>
      </c>
      <c r="Q515">
        <f t="shared" ref="Q515:Q578" si="42">(F515*H515)*(1-K515)</f>
        <v>8010.2669999999998</v>
      </c>
      <c r="R515">
        <f t="shared" ref="R515:R578" si="43">(I515-H515)*F515</f>
        <v>5330.0999999999694</v>
      </c>
      <c r="S515">
        <f t="shared" ref="S515:S578" si="44">((I515-H515)*F515)*(1-K515)</f>
        <v>4743.7889999999725</v>
      </c>
    </row>
    <row r="516" spans="1:19" x14ac:dyDescent="0.3">
      <c r="A516">
        <v>1076</v>
      </c>
      <c r="B516" s="1">
        <v>45007</v>
      </c>
      <c r="C516" t="s">
        <v>33</v>
      </c>
      <c r="D516" t="s">
        <v>25</v>
      </c>
      <c r="E516">
        <v>316.94</v>
      </c>
      <c r="F516">
        <v>23</v>
      </c>
      <c r="G516" t="s">
        <v>26</v>
      </c>
      <c r="H516">
        <v>2759.16</v>
      </c>
      <c r="I516">
        <v>2864.45</v>
      </c>
      <c r="J516" t="s">
        <v>17</v>
      </c>
      <c r="K516">
        <v>0.18</v>
      </c>
      <c r="L516" t="s">
        <v>31</v>
      </c>
      <c r="M516" t="s">
        <v>22</v>
      </c>
      <c r="N516" t="s">
        <v>44</v>
      </c>
      <c r="O516" t="str">
        <f t="shared" si="40"/>
        <v>Mar</v>
      </c>
      <c r="P516" t="str">
        <f t="shared" si="41"/>
        <v>Wednesday</v>
      </c>
      <c r="Q516">
        <f t="shared" si="42"/>
        <v>52037.757599999997</v>
      </c>
      <c r="R516">
        <f t="shared" si="43"/>
        <v>2421.6699999999992</v>
      </c>
      <c r="S516">
        <f t="shared" si="44"/>
        <v>1985.7693999999995</v>
      </c>
    </row>
    <row r="517" spans="1:19" x14ac:dyDescent="0.3">
      <c r="A517">
        <v>1016</v>
      </c>
      <c r="B517" s="1">
        <v>45141</v>
      </c>
      <c r="C517" t="s">
        <v>42</v>
      </c>
      <c r="D517" t="s">
        <v>21</v>
      </c>
      <c r="E517">
        <v>3080.36</v>
      </c>
      <c r="F517">
        <v>16</v>
      </c>
      <c r="G517" t="s">
        <v>16</v>
      </c>
      <c r="H517">
        <v>4457.68</v>
      </c>
      <c r="I517">
        <v>4743.03</v>
      </c>
      <c r="J517" t="s">
        <v>17</v>
      </c>
      <c r="K517">
        <v>0.19</v>
      </c>
      <c r="L517" t="s">
        <v>18</v>
      </c>
      <c r="M517" t="s">
        <v>19</v>
      </c>
      <c r="N517" t="s">
        <v>51</v>
      </c>
      <c r="O517" t="str">
        <f t="shared" si="40"/>
        <v>Aug</v>
      </c>
      <c r="P517" t="str">
        <f t="shared" si="41"/>
        <v>Thursday</v>
      </c>
      <c r="Q517">
        <f t="shared" si="42"/>
        <v>57771.532800000008</v>
      </c>
      <c r="R517">
        <f t="shared" si="43"/>
        <v>4565.5999999999913</v>
      </c>
      <c r="S517">
        <f t="shared" si="44"/>
        <v>3698.1359999999931</v>
      </c>
    </row>
    <row r="518" spans="1:19" x14ac:dyDescent="0.3">
      <c r="A518">
        <v>1090</v>
      </c>
      <c r="B518" s="1">
        <v>45124</v>
      </c>
      <c r="C518" t="s">
        <v>24</v>
      </c>
      <c r="D518" t="s">
        <v>15</v>
      </c>
      <c r="E518">
        <v>5076.05</v>
      </c>
      <c r="F518">
        <v>14</v>
      </c>
      <c r="G518" t="s">
        <v>35</v>
      </c>
      <c r="H518">
        <v>1350.47</v>
      </c>
      <c r="I518">
        <v>1514.61</v>
      </c>
      <c r="J518" t="s">
        <v>30</v>
      </c>
      <c r="K518">
        <v>0.2</v>
      </c>
      <c r="L518" t="s">
        <v>31</v>
      </c>
      <c r="M518" t="s">
        <v>22</v>
      </c>
      <c r="N518" t="s">
        <v>45</v>
      </c>
      <c r="O518" t="str">
        <f t="shared" si="40"/>
        <v>Jul</v>
      </c>
      <c r="P518" t="str">
        <f t="shared" si="41"/>
        <v>Monday</v>
      </c>
      <c r="Q518">
        <f t="shared" si="42"/>
        <v>15125.264000000003</v>
      </c>
      <c r="R518">
        <f t="shared" si="43"/>
        <v>2297.9599999999982</v>
      </c>
      <c r="S518">
        <f t="shared" si="44"/>
        <v>1838.3679999999986</v>
      </c>
    </row>
    <row r="519" spans="1:19"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c r="O519" t="str">
        <f t="shared" si="40"/>
        <v>Jul</v>
      </c>
      <c r="P519" t="str">
        <f t="shared" si="41"/>
        <v>Wednesday</v>
      </c>
      <c r="Q519">
        <f t="shared" si="42"/>
        <v>23398.774000000001</v>
      </c>
      <c r="R519">
        <f t="shared" si="43"/>
        <v>513.39999999999691</v>
      </c>
      <c r="S519">
        <f t="shared" si="44"/>
        <v>503.13199999999694</v>
      </c>
    </row>
    <row r="520" spans="1:19"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c r="O520" t="str">
        <f t="shared" si="40"/>
        <v>Jan</v>
      </c>
      <c r="P520" t="str">
        <f t="shared" si="41"/>
        <v>Wednesday</v>
      </c>
      <c r="Q520">
        <f t="shared" si="42"/>
        <v>9386.2881000000016</v>
      </c>
      <c r="R520">
        <f t="shared" si="43"/>
        <v>2419.5499999999993</v>
      </c>
      <c r="S520">
        <f t="shared" si="44"/>
        <v>1959.8354999999995</v>
      </c>
    </row>
    <row r="521" spans="1:19"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c r="O521" t="str">
        <f t="shared" si="40"/>
        <v>Mar</v>
      </c>
      <c r="P521" t="str">
        <f t="shared" si="41"/>
        <v>Thursday</v>
      </c>
      <c r="Q521">
        <f t="shared" si="42"/>
        <v>152181.36449999997</v>
      </c>
      <c r="R521">
        <f t="shared" si="43"/>
        <v>16056.000000000007</v>
      </c>
      <c r="S521">
        <f t="shared" si="44"/>
        <v>11399.760000000004</v>
      </c>
    </row>
    <row r="522" spans="1:19"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c r="O522" t="str">
        <f t="shared" si="40"/>
        <v>Sep</v>
      </c>
      <c r="P522" t="str">
        <f t="shared" si="41"/>
        <v>Monday</v>
      </c>
      <c r="Q522">
        <f t="shared" si="42"/>
        <v>128268.71400000001</v>
      </c>
      <c r="R522">
        <f t="shared" si="43"/>
        <v>6896.7999999999865</v>
      </c>
      <c r="S522">
        <f t="shared" si="44"/>
        <v>5793.3119999999881</v>
      </c>
    </row>
    <row r="523" spans="1:19" x14ac:dyDescent="0.3">
      <c r="A523">
        <v>1100</v>
      </c>
      <c r="B523" s="1">
        <v>45069</v>
      </c>
      <c r="C523" t="s">
        <v>14</v>
      </c>
      <c r="D523" t="s">
        <v>21</v>
      </c>
      <c r="E523">
        <v>7667.96</v>
      </c>
      <c r="F523">
        <v>29</v>
      </c>
      <c r="G523" t="s">
        <v>26</v>
      </c>
      <c r="H523">
        <v>3559.56</v>
      </c>
      <c r="I523">
        <v>3607.15</v>
      </c>
      <c r="J523" t="s">
        <v>17</v>
      </c>
      <c r="K523">
        <v>0.21</v>
      </c>
      <c r="L523" t="s">
        <v>18</v>
      </c>
      <c r="M523" t="s">
        <v>22</v>
      </c>
      <c r="N523" t="s">
        <v>23</v>
      </c>
      <c r="O523" t="str">
        <f t="shared" si="40"/>
        <v>May</v>
      </c>
      <c r="P523" t="str">
        <f t="shared" si="41"/>
        <v>Tuesday</v>
      </c>
      <c r="Q523">
        <f t="shared" si="42"/>
        <v>81549.519600000014</v>
      </c>
      <c r="R523">
        <f t="shared" si="43"/>
        <v>1380.1100000000042</v>
      </c>
      <c r="S523">
        <f t="shared" si="44"/>
        <v>1090.2869000000035</v>
      </c>
    </row>
    <row r="524" spans="1:19" x14ac:dyDescent="0.3">
      <c r="A524">
        <v>1033</v>
      </c>
      <c r="B524" s="1">
        <v>44985</v>
      </c>
      <c r="C524" t="s">
        <v>24</v>
      </c>
      <c r="D524" t="s">
        <v>21</v>
      </c>
      <c r="E524">
        <v>4155.74</v>
      </c>
      <c r="F524">
        <v>3</v>
      </c>
      <c r="G524" t="s">
        <v>29</v>
      </c>
      <c r="H524">
        <v>2958.75</v>
      </c>
      <c r="I524">
        <v>3177.64</v>
      </c>
      <c r="J524" t="s">
        <v>17</v>
      </c>
      <c r="K524">
        <v>0.17</v>
      </c>
      <c r="L524" t="s">
        <v>18</v>
      </c>
      <c r="M524" t="s">
        <v>19</v>
      </c>
      <c r="N524" t="s">
        <v>47</v>
      </c>
      <c r="O524" t="str">
        <f t="shared" si="40"/>
        <v>Feb</v>
      </c>
      <c r="P524" t="str">
        <f t="shared" si="41"/>
        <v>Tuesday</v>
      </c>
      <c r="Q524">
        <f t="shared" si="42"/>
        <v>7367.2874999999995</v>
      </c>
      <c r="R524">
        <f t="shared" si="43"/>
        <v>656.66999999999962</v>
      </c>
      <c r="S524">
        <f t="shared" si="44"/>
        <v>545.03609999999969</v>
      </c>
    </row>
    <row r="525" spans="1:19" x14ac:dyDescent="0.3">
      <c r="A525">
        <v>1094</v>
      </c>
      <c r="B525" s="1">
        <v>45291</v>
      </c>
      <c r="C525" t="s">
        <v>14</v>
      </c>
      <c r="D525" t="s">
        <v>25</v>
      </c>
      <c r="E525">
        <v>6586.22</v>
      </c>
      <c r="F525">
        <v>15</v>
      </c>
      <c r="G525" t="s">
        <v>26</v>
      </c>
      <c r="H525">
        <v>4111.93</v>
      </c>
      <c r="I525">
        <v>4338.67</v>
      </c>
      <c r="J525" t="s">
        <v>17</v>
      </c>
      <c r="K525">
        <v>0.26</v>
      </c>
      <c r="L525" t="s">
        <v>31</v>
      </c>
      <c r="M525" t="s">
        <v>19</v>
      </c>
      <c r="N525" t="s">
        <v>32</v>
      </c>
      <c r="O525" t="str">
        <f t="shared" si="40"/>
        <v>Dec</v>
      </c>
      <c r="P525" t="str">
        <f t="shared" si="41"/>
        <v>Sunday</v>
      </c>
      <c r="Q525">
        <f t="shared" si="42"/>
        <v>45642.423000000003</v>
      </c>
      <c r="R525">
        <f t="shared" si="43"/>
        <v>3401.0999999999967</v>
      </c>
      <c r="S525">
        <f t="shared" si="44"/>
        <v>2516.8139999999976</v>
      </c>
    </row>
    <row r="526" spans="1:19"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c r="O526" t="str">
        <f t="shared" si="40"/>
        <v>Jan</v>
      </c>
      <c r="P526" t="str">
        <f t="shared" si="41"/>
        <v>Thursday</v>
      </c>
      <c r="Q526">
        <f t="shared" si="42"/>
        <v>51625.382399999995</v>
      </c>
      <c r="R526">
        <f t="shared" si="43"/>
        <v>12155.399999999994</v>
      </c>
      <c r="S526">
        <f t="shared" si="44"/>
        <v>8751.8879999999954</v>
      </c>
    </row>
    <row r="527" spans="1:19"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c r="O527" t="str">
        <f t="shared" si="40"/>
        <v>Feb</v>
      </c>
      <c r="P527" t="str">
        <f t="shared" si="41"/>
        <v>Thursday</v>
      </c>
      <c r="Q527">
        <f t="shared" si="42"/>
        <v>100084.4884</v>
      </c>
      <c r="R527">
        <f t="shared" si="43"/>
        <v>7733.8499999999876</v>
      </c>
      <c r="S527">
        <f t="shared" si="44"/>
        <v>7269.8189999999877</v>
      </c>
    </row>
    <row r="528" spans="1:19" x14ac:dyDescent="0.3">
      <c r="A528">
        <v>1069</v>
      </c>
      <c r="B528" s="1">
        <v>45214</v>
      </c>
      <c r="C528" t="s">
        <v>14</v>
      </c>
      <c r="D528" t="s">
        <v>21</v>
      </c>
      <c r="E528">
        <v>1688.58</v>
      </c>
      <c r="F528">
        <v>46</v>
      </c>
      <c r="G528" t="s">
        <v>26</v>
      </c>
      <c r="H528">
        <v>3663.51</v>
      </c>
      <c r="I528">
        <v>4007.98</v>
      </c>
      <c r="J528" t="s">
        <v>30</v>
      </c>
      <c r="K528">
        <v>0.13</v>
      </c>
      <c r="L528" t="s">
        <v>18</v>
      </c>
      <c r="M528" t="s">
        <v>19</v>
      </c>
      <c r="N528" t="s">
        <v>23</v>
      </c>
      <c r="O528" t="str">
        <f t="shared" si="40"/>
        <v>Oct</v>
      </c>
      <c r="P528" t="str">
        <f t="shared" si="41"/>
        <v>Sunday</v>
      </c>
      <c r="Q528">
        <f t="shared" si="42"/>
        <v>146613.67020000002</v>
      </c>
      <c r="R528">
        <f t="shared" si="43"/>
        <v>15845.619999999992</v>
      </c>
      <c r="S528">
        <f t="shared" si="44"/>
        <v>13785.689399999992</v>
      </c>
    </row>
    <row r="529" spans="1:19" x14ac:dyDescent="0.3">
      <c r="A529">
        <v>1100</v>
      </c>
      <c r="B529" s="1">
        <v>45192</v>
      </c>
      <c r="C529" t="s">
        <v>33</v>
      </c>
      <c r="D529" t="s">
        <v>15</v>
      </c>
      <c r="E529">
        <v>797.87</v>
      </c>
      <c r="F529">
        <v>19</v>
      </c>
      <c r="G529" t="s">
        <v>35</v>
      </c>
      <c r="H529">
        <v>1820.89</v>
      </c>
      <c r="I529">
        <v>2257.92</v>
      </c>
      <c r="J529" t="s">
        <v>30</v>
      </c>
      <c r="K529">
        <v>0.12</v>
      </c>
      <c r="L529" t="s">
        <v>18</v>
      </c>
      <c r="M529" t="s">
        <v>22</v>
      </c>
      <c r="N529" t="s">
        <v>53</v>
      </c>
      <c r="O529" t="str">
        <f t="shared" si="40"/>
        <v>Sep</v>
      </c>
      <c r="P529" t="str">
        <f t="shared" si="41"/>
        <v>Saturday</v>
      </c>
      <c r="Q529">
        <f t="shared" si="42"/>
        <v>30445.280800000004</v>
      </c>
      <c r="R529">
        <f t="shared" si="43"/>
        <v>8303.57</v>
      </c>
      <c r="S529">
        <f t="shared" si="44"/>
        <v>7307.1415999999999</v>
      </c>
    </row>
    <row r="530" spans="1:19" x14ac:dyDescent="0.3">
      <c r="A530">
        <v>1034</v>
      </c>
      <c r="B530" s="1">
        <v>44942</v>
      </c>
      <c r="C530" t="s">
        <v>42</v>
      </c>
      <c r="D530" t="s">
        <v>15</v>
      </c>
      <c r="E530">
        <v>1937.9</v>
      </c>
      <c r="F530">
        <v>13</v>
      </c>
      <c r="G530" t="s">
        <v>16</v>
      </c>
      <c r="H530">
        <v>366.31</v>
      </c>
      <c r="I530">
        <v>492.68</v>
      </c>
      <c r="J530" t="s">
        <v>30</v>
      </c>
      <c r="K530">
        <v>0.12</v>
      </c>
      <c r="L530" t="s">
        <v>31</v>
      </c>
      <c r="M530" t="s">
        <v>22</v>
      </c>
      <c r="N530" t="s">
        <v>49</v>
      </c>
      <c r="O530" t="str">
        <f t="shared" si="40"/>
        <v>Jan</v>
      </c>
      <c r="P530" t="str">
        <f t="shared" si="41"/>
        <v>Monday</v>
      </c>
      <c r="Q530">
        <f t="shared" si="42"/>
        <v>4190.5864000000001</v>
      </c>
      <c r="R530">
        <f t="shared" si="43"/>
        <v>1642.81</v>
      </c>
      <c r="S530">
        <f t="shared" si="44"/>
        <v>1445.6728000000001</v>
      </c>
    </row>
    <row r="531" spans="1:19" x14ac:dyDescent="0.3">
      <c r="A531">
        <v>1052</v>
      </c>
      <c r="B531" s="1">
        <v>45125</v>
      </c>
      <c r="C531" t="s">
        <v>38</v>
      </c>
      <c r="D531" t="s">
        <v>25</v>
      </c>
      <c r="E531">
        <v>6675.77</v>
      </c>
      <c r="F531">
        <v>42</v>
      </c>
      <c r="G531" t="s">
        <v>35</v>
      </c>
      <c r="H531">
        <v>417.96</v>
      </c>
      <c r="I531">
        <v>907.63</v>
      </c>
      <c r="J531" t="s">
        <v>30</v>
      </c>
      <c r="K531">
        <v>0.04</v>
      </c>
      <c r="L531" t="s">
        <v>18</v>
      </c>
      <c r="M531" t="s">
        <v>22</v>
      </c>
      <c r="N531" t="s">
        <v>39</v>
      </c>
      <c r="O531" t="str">
        <f t="shared" si="40"/>
        <v>Jul</v>
      </c>
      <c r="P531" t="str">
        <f t="shared" si="41"/>
        <v>Tuesday</v>
      </c>
      <c r="Q531">
        <f t="shared" si="42"/>
        <v>16852.147199999999</v>
      </c>
      <c r="R531">
        <f t="shared" si="43"/>
        <v>20566.14</v>
      </c>
      <c r="S531">
        <f t="shared" si="44"/>
        <v>19743.4944</v>
      </c>
    </row>
    <row r="532" spans="1:19"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c r="O532" t="str">
        <f t="shared" si="40"/>
        <v>Oct</v>
      </c>
      <c r="P532" t="str">
        <f t="shared" si="41"/>
        <v>Monday</v>
      </c>
      <c r="Q532">
        <f t="shared" si="42"/>
        <v>9911.9579999999987</v>
      </c>
      <c r="R532">
        <f t="shared" si="43"/>
        <v>4185.7199999999793</v>
      </c>
      <c r="S532">
        <f t="shared" si="44"/>
        <v>3181.1471999999844</v>
      </c>
    </row>
    <row r="533" spans="1:19" x14ac:dyDescent="0.3">
      <c r="A533">
        <v>1010</v>
      </c>
      <c r="B533" s="1">
        <v>45012</v>
      </c>
      <c r="C533" t="s">
        <v>38</v>
      </c>
      <c r="D533" t="s">
        <v>25</v>
      </c>
      <c r="E533">
        <v>8159.84</v>
      </c>
      <c r="F533">
        <v>37</v>
      </c>
      <c r="G533" t="s">
        <v>29</v>
      </c>
      <c r="H533">
        <v>4354.92</v>
      </c>
      <c r="I533">
        <v>4495.88</v>
      </c>
      <c r="J533" t="s">
        <v>17</v>
      </c>
      <c r="K533">
        <v>0.01</v>
      </c>
      <c r="L533" t="s">
        <v>27</v>
      </c>
      <c r="M533" t="s">
        <v>19</v>
      </c>
      <c r="N533" t="s">
        <v>39</v>
      </c>
      <c r="O533" t="str">
        <f t="shared" si="40"/>
        <v>Mar</v>
      </c>
      <c r="P533" t="str">
        <f t="shared" si="41"/>
        <v>Monday</v>
      </c>
      <c r="Q533">
        <f t="shared" si="42"/>
        <v>159520.71960000001</v>
      </c>
      <c r="R533">
        <f t="shared" si="43"/>
        <v>5215.5200000000013</v>
      </c>
      <c r="S533">
        <f t="shared" si="44"/>
        <v>5163.3648000000012</v>
      </c>
    </row>
    <row r="534" spans="1:19" x14ac:dyDescent="0.3">
      <c r="A534">
        <v>1019</v>
      </c>
      <c r="B534" s="1">
        <v>45176</v>
      </c>
      <c r="C534" t="s">
        <v>14</v>
      </c>
      <c r="D534" t="s">
        <v>21</v>
      </c>
      <c r="E534">
        <v>6882.83</v>
      </c>
      <c r="F534">
        <v>27</v>
      </c>
      <c r="G534" t="s">
        <v>35</v>
      </c>
      <c r="H534">
        <v>2387.52</v>
      </c>
      <c r="I534">
        <v>2604.06</v>
      </c>
      <c r="J534" t="s">
        <v>17</v>
      </c>
      <c r="K534">
        <v>0.16</v>
      </c>
      <c r="L534" t="s">
        <v>18</v>
      </c>
      <c r="M534" t="s">
        <v>19</v>
      </c>
      <c r="N534" t="s">
        <v>23</v>
      </c>
      <c r="O534" t="str">
        <f t="shared" si="40"/>
        <v>Sep</v>
      </c>
      <c r="P534" t="str">
        <f t="shared" si="41"/>
        <v>Thursday</v>
      </c>
      <c r="Q534">
        <f t="shared" si="42"/>
        <v>54148.953600000001</v>
      </c>
      <c r="R534">
        <f t="shared" si="43"/>
        <v>5846.579999999999</v>
      </c>
      <c r="S534">
        <f t="shared" si="44"/>
        <v>4911.127199999999</v>
      </c>
    </row>
    <row r="535" spans="1:19" x14ac:dyDescent="0.3">
      <c r="A535">
        <v>1058</v>
      </c>
      <c r="B535" s="1">
        <v>45196</v>
      </c>
      <c r="C535" t="s">
        <v>38</v>
      </c>
      <c r="D535" t="s">
        <v>21</v>
      </c>
      <c r="E535">
        <v>1193.28</v>
      </c>
      <c r="F535">
        <v>29</v>
      </c>
      <c r="G535" t="s">
        <v>35</v>
      </c>
      <c r="H535">
        <v>3578.77</v>
      </c>
      <c r="I535">
        <v>3635.02</v>
      </c>
      <c r="J535" t="s">
        <v>30</v>
      </c>
      <c r="K535">
        <v>0.2</v>
      </c>
      <c r="L535" t="s">
        <v>27</v>
      </c>
      <c r="M535" t="s">
        <v>22</v>
      </c>
      <c r="N535" t="s">
        <v>41</v>
      </c>
      <c r="O535" t="str">
        <f t="shared" si="40"/>
        <v>Sep</v>
      </c>
      <c r="P535" t="str">
        <f t="shared" si="41"/>
        <v>Wednesday</v>
      </c>
      <c r="Q535">
        <f t="shared" si="42"/>
        <v>83027.464000000007</v>
      </c>
      <c r="R535">
        <f t="shared" si="43"/>
        <v>1631.25</v>
      </c>
      <c r="S535">
        <f t="shared" si="44"/>
        <v>1305</v>
      </c>
    </row>
    <row r="536" spans="1:19" x14ac:dyDescent="0.3">
      <c r="A536">
        <v>1096</v>
      </c>
      <c r="B536" s="1">
        <v>45261</v>
      </c>
      <c r="C536" t="s">
        <v>14</v>
      </c>
      <c r="D536" t="s">
        <v>34</v>
      </c>
      <c r="E536">
        <v>2962.96</v>
      </c>
      <c r="F536">
        <v>20</v>
      </c>
      <c r="G536" t="s">
        <v>16</v>
      </c>
      <c r="H536">
        <v>1994.9</v>
      </c>
      <c r="I536">
        <v>2066.5</v>
      </c>
      <c r="J536" t="s">
        <v>17</v>
      </c>
      <c r="K536">
        <v>0.06</v>
      </c>
      <c r="L536" t="s">
        <v>27</v>
      </c>
      <c r="M536" t="s">
        <v>19</v>
      </c>
      <c r="N536" t="s">
        <v>46</v>
      </c>
      <c r="O536" t="str">
        <f t="shared" si="40"/>
        <v>Dec</v>
      </c>
      <c r="P536" t="str">
        <f t="shared" si="41"/>
        <v>Friday</v>
      </c>
      <c r="Q536">
        <f t="shared" si="42"/>
        <v>37504.119999999995</v>
      </c>
      <c r="R536">
        <f t="shared" si="43"/>
        <v>1431.9999999999982</v>
      </c>
      <c r="S536">
        <f t="shared" si="44"/>
        <v>1346.0799999999981</v>
      </c>
    </row>
    <row r="537" spans="1:19"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c r="O537" t="str">
        <f t="shared" si="40"/>
        <v>Apr</v>
      </c>
      <c r="P537" t="str">
        <f t="shared" si="41"/>
        <v>Thursday</v>
      </c>
      <c r="Q537">
        <f t="shared" si="42"/>
        <v>24283.814999999999</v>
      </c>
      <c r="R537">
        <f t="shared" si="43"/>
        <v>5326.7499999997544</v>
      </c>
      <c r="S537">
        <f t="shared" si="44"/>
        <v>3888.5274999998205</v>
      </c>
    </row>
    <row r="538" spans="1:19"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c r="O538" t="str">
        <f t="shared" si="40"/>
        <v>Jan</v>
      </c>
      <c r="P538" t="str">
        <f t="shared" si="41"/>
        <v>Saturday</v>
      </c>
      <c r="Q538">
        <f t="shared" si="42"/>
        <v>7958.6999999999989</v>
      </c>
      <c r="R538">
        <f t="shared" si="43"/>
        <v>2301.5999999999995</v>
      </c>
      <c r="S538">
        <f t="shared" si="44"/>
        <v>1726.1999999999996</v>
      </c>
    </row>
    <row r="539" spans="1:19"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c r="O539" t="str">
        <f t="shared" si="40"/>
        <v>May</v>
      </c>
      <c r="P539" t="str">
        <f t="shared" si="41"/>
        <v>Wednesday</v>
      </c>
      <c r="Q539">
        <f t="shared" si="42"/>
        <v>123257.95199999999</v>
      </c>
      <c r="R539">
        <f t="shared" si="43"/>
        <v>16241.399999999659</v>
      </c>
      <c r="S539">
        <f t="shared" si="44"/>
        <v>13967.603999999707</v>
      </c>
    </row>
    <row r="540" spans="1:19" x14ac:dyDescent="0.3">
      <c r="A540">
        <v>1016</v>
      </c>
      <c r="B540" s="1">
        <v>45102</v>
      </c>
      <c r="C540" t="s">
        <v>42</v>
      </c>
      <c r="D540" t="s">
        <v>21</v>
      </c>
      <c r="E540">
        <v>5401.98</v>
      </c>
      <c r="F540">
        <v>2</v>
      </c>
      <c r="G540" t="s">
        <v>35</v>
      </c>
      <c r="H540">
        <v>3144.82</v>
      </c>
      <c r="I540">
        <v>3480.58</v>
      </c>
      <c r="J540" t="s">
        <v>17</v>
      </c>
      <c r="K540">
        <v>0.12</v>
      </c>
      <c r="L540" t="s">
        <v>18</v>
      </c>
      <c r="M540" t="s">
        <v>22</v>
      </c>
      <c r="N540" t="s">
        <v>51</v>
      </c>
      <c r="O540" t="str">
        <f t="shared" si="40"/>
        <v>Jun</v>
      </c>
      <c r="P540" t="str">
        <f t="shared" si="41"/>
        <v>Sunday</v>
      </c>
      <c r="Q540">
        <f t="shared" si="42"/>
        <v>5534.8832000000002</v>
      </c>
      <c r="R540">
        <f t="shared" si="43"/>
        <v>671.51999999999953</v>
      </c>
      <c r="S540">
        <f t="shared" si="44"/>
        <v>590.93759999999963</v>
      </c>
    </row>
    <row r="541" spans="1:19"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c r="O541" t="str">
        <f t="shared" si="40"/>
        <v>Nov</v>
      </c>
      <c r="P541" t="str">
        <f t="shared" si="41"/>
        <v>Friday</v>
      </c>
      <c r="Q541">
        <f t="shared" si="42"/>
        <v>95984.407199999987</v>
      </c>
      <c r="R541">
        <f t="shared" si="43"/>
        <v>1354.3200000000088</v>
      </c>
      <c r="S541">
        <f t="shared" si="44"/>
        <v>1259.5176000000081</v>
      </c>
    </row>
    <row r="542" spans="1:19" x14ac:dyDescent="0.3">
      <c r="A542">
        <v>1080</v>
      </c>
      <c r="B542" s="1">
        <v>45241</v>
      </c>
      <c r="C542" t="s">
        <v>42</v>
      </c>
      <c r="D542" t="s">
        <v>34</v>
      </c>
      <c r="E542">
        <v>3602.51</v>
      </c>
      <c r="F542">
        <v>32</v>
      </c>
      <c r="G542" t="s">
        <v>35</v>
      </c>
      <c r="H542">
        <v>3414.54</v>
      </c>
      <c r="I542">
        <v>3753.83</v>
      </c>
      <c r="J542" t="s">
        <v>30</v>
      </c>
      <c r="K542">
        <v>0.22</v>
      </c>
      <c r="L542" t="s">
        <v>18</v>
      </c>
      <c r="M542" t="s">
        <v>22</v>
      </c>
      <c r="N542" t="s">
        <v>52</v>
      </c>
      <c r="O542" t="str">
        <f t="shared" si="40"/>
        <v>Nov</v>
      </c>
      <c r="P542" t="str">
        <f t="shared" si="41"/>
        <v>Saturday</v>
      </c>
      <c r="Q542">
        <f t="shared" si="42"/>
        <v>85226.918399999995</v>
      </c>
      <c r="R542">
        <f t="shared" si="43"/>
        <v>10857.279999999999</v>
      </c>
      <c r="S542">
        <f t="shared" si="44"/>
        <v>8468.6783999999989</v>
      </c>
    </row>
    <row r="543" spans="1:19"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c r="O543" t="str">
        <f t="shared" si="40"/>
        <v>Aug</v>
      </c>
      <c r="P543" t="str">
        <f t="shared" si="41"/>
        <v>Thursday</v>
      </c>
      <c r="Q543">
        <f t="shared" si="42"/>
        <v>44120.063999999998</v>
      </c>
      <c r="R543">
        <f t="shared" si="43"/>
        <v>5141.760000000002</v>
      </c>
      <c r="S543">
        <f t="shared" si="44"/>
        <v>4936.0896000000021</v>
      </c>
    </row>
    <row r="544" spans="1:19" x14ac:dyDescent="0.3">
      <c r="A544">
        <v>1092</v>
      </c>
      <c r="B544" s="1">
        <v>45008</v>
      </c>
      <c r="C544" t="s">
        <v>14</v>
      </c>
      <c r="D544" t="s">
        <v>25</v>
      </c>
      <c r="E544">
        <v>7914</v>
      </c>
      <c r="F544">
        <v>18</v>
      </c>
      <c r="G544" t="s">
        <v>26</v>
      </c>
      <c r="H544">
        <v>3070.47</v>
      </c>
      <c r="I544">
        <v>3475.29</v>
      </c>
      <c r="J544" t="s">
        <v>17</v>
      </c>
      <c r="K544">
        <v>0.2</v>
      </c>
      <c r="L544" t="s">
        <v>27</v>
      </c>
      <c r="M544" t="s">
        <v>19</v>
      </c>
      <c r="N544" t="s">
        <v>32</v>
      </c>
      <c r="O544" t="str">
        <f t="shared" si="40"/>
        <v>Mar</v>
      </c>
      <c r="P544" t="str">
        <f t="shared" si="41"/>
        <v>Thursday</v>
      </c>
      <c r="Q544">
        <f t="shared" si="42"/>
        <v>44214.768000000004</v>
      </c>
      <c r="R544">
        <f t="shared" si="43"/>
        <v>7286.7600000000029</v>
      </c>
      <c r="S544">
        <f t="shared" si="44"/>
        <v>5829.4080000000031</v>
      </c>
    </row>
    <row r="545" spans="1:19"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c r="O545" t="str">
        <f t="shared" si="40"/>
        <v>Aug</v>
      </c>
      <c r="P545" t="str">
        <f t="shared" si="41"/>
        <v>Friday</v>
      </c>
      <c r="Q545">
        <f t="shared" si="42"/>
        <v>17680.274999999998</v>
      </c>
      <c r="R545">
        <f t="shared" si="43"/>
        <v>2071.8499999999995</v>
      </c>
      <c r="S545">
        <f t="shared" si="44"/>
        <v>1553.8874999999996</v>
      </c>
    </row>
    <row r="546" spans="1:19"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c r="O546" t="str">
        <f t="shared" si="40"/>
        <v>Apr</v>
      </c>
      <c r="P546" t="str">
        <f t="shared" si="41"/>
        <v>Thursday</v>
      </c>
      <c r="Q546">
        <f t="shared" si="42"/>
        <v>132299.23319999999</v>
      </c>
      <c r="R546">
        <f t="shared" si="43"/>
        <v>15675.120000000003</v>
      </c>
      <c r="S546">
        <f t="shared" si="44"/>
        <v>14577.861600000002</v>
      </c>
    </row>
    <row r="547" spans="1:19"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c r="O547" t="str">
        <f t="shared" si="40"/>
        <v>Sep</v>
      </c>
      <c r="P547" t="str">
        <f t="shared" si="41"/>
        <v>Saturday</v>
      </c>
      <c r="Q547">
        <f t="shared" si="42"/>
        <v>3751.8</v>
      </c>
      <c r="R547">
        <f t="shared" si="43"/>
        <v>6387.5999999999694</v>
      </c>
      <c r="S547">
        <f t="shared" si="44"/>
        <v>4726.8239999999769</v>
      </c>
    </row>
    <row r="548" spans="1:19"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c r="O548" t="str">
        <f t="shared" si="40"/>
        <v>Jan</v>
      </c>
      <c r="P548" t="str">
        <f t="shared" si="41"/>
        <v>Saturday</v>
      </c>
      <c r="Q548">
        <f t="shared" si="42"/>
        <v>120017.25449999998</v>
      </c>
      <c r="R548">
        <f t="shared" si="43"/>
        <v>15837.749999999562</v>
      </c>
      <c r="S548">
        <f t="shared" si="44"/>
        <v>15679.372499999567</v>
      </c>
    </row>
    <row r="549" spans="1:19" x14ac:dyDescent="0.3">
      <c r="A549">
        <v>1012</v>
      </c>
      <c r="B549" s="1">
        <v>45085</v>
      </c>
      <c r="C549" t="s">
        <v>14</v>
      </c>
      <c r="D549" t="s">
        <v>34</v>
      </c>
      <c r="E549">
        <v>3608.81</v>
      </c>
      <c r="F549">
        <v>19</v>
      </c>
      <c r="G549" t="s">
        <v>16</v>
      </c>
      <c r="H549">
        <v>3457.28</v>
      </c>
      <c r="I549">
        <v>3598.72</v>
      </c>
      <c r="J549" t="s">
        <v>30</v>
      </c>
      <c r="K549">
        <v>0.27</v>
      </c>
      <c r="L549" t="s">
        <v>27</v>
      </c>
      <c r="M549" t="s">
        <v>19</v>
      </c>
      <c r="N549" t="s">
        <v>46</v>
      </c>
      <c r="O549" t="str">
        <f t="shared" si="40"/>
        <v>Jun</v>
      </c>
      <c r="P549" t="str">
        <f t="shared" si="41"/>
        <v>Thursday</v>
      </c>
      <c r="Q549">
        <f t="shared" si="42"/>
        <v>47952.473600000005</v>
      </c>
      <c r="R549">
        <f t="shared" si="43"/>
        <v>2687.3599999999924</v>
      </c>
      <c r="S549">
        <f t="shared" si="44"/>
        <v>1961.7727999999945</v>
      </c>
    </row>
    <row r="550" spans="1:19"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c r="O550" t="str">
        <f t="shared" si="40"/>
        <v>Jun</v>
      </c>
      <c r="P550" t="str">
        <f t="shared" si="41"/>
        <v>Thursday</v>
      </c>
      <c r="Q550">
        <f t="shared" si="42"/>
        <v>82933.804799999998</v>
      </c>
      <c r="R550">
        <f t="shared" si="43"/>
        <v>11492.409999999991</v>
      </c>
      <c r="S550">
        <f t="shared" si="44"/>
        <v>11032.71359999999</v>
      </c>
    </row>
    <row r="551" spans="1:19" x14ac:dyDescent="0.3">
      <c r="A551">
        <v>1035</v>
      </c>
      <c r="B551" s="1">
        <v>45034</v>
      </c>
      <c r="C551" t="s">
        <v>24</v>
      </c>
      <c r="D551" t="s">
        <v>25</v>
      </c>
      <c r="E551">
        <v>9417.1</v>
      </c>
      <c r="F551">
        <v>34</v>
      </c>
      <c r="G551" t="s">
        <v>26</v>
      </c>
      <c r="H551">
        <v>1105.05</v>
      </c>
      <c r="I551">
        <v>1200.96</v>
      </c>
      <c r="J551" t="s">
        <v>17</v>
      </c>
      <c r="K551">
        <v>0.19</v>
      </c>
      <c r="L551" t="s">
        <v>18</v>
      </c>
      <c r="M551" t="s">
        <v>19</v>
      </c>
      <c r="N551" t="s">
        <v>28</v>
      </c>
      <c r="O551" t="str">
        <f t="shared" si="40"/>
        <v>Apr</v>
      </c>
      <c r="P551" t="str">
        <f t="shared" si="41"/>
        <v>Tuesday</v>
      </c>
      <c r="Q551">
        <f t="shared" si="42"/>
        <v>30433.077000000001</v>
      </c>
      <c r="R551">
        <f t="shared" si="43"/>
        <v>3260.9400000000028</v>
      </c>
      <c r="S551">
        <f t="shared" si="44"/>
        <v>2641.3614000000025</v>
      </c>
    </row>
    <row r="552" spans="1:19" x14ac:dyDescent="0.3">
      <c r="A552">
        <v>1033</v>
      </c>
      <c r="B552" s="1">
        <v>45114</v>
      </c>
      <c r="C552" t="s">
        <v>38</v>
      </c>
      <c r="D552" t="s">
        <v>34</v>
      </c>
      <c r="E552">
        <v>8775.56</v>
      </c>
      <c r="F552">
        <v>13</v>
      </c>
      <c r="G552" t="s">
        <v>26</v>
      </c>
      <c r="H552">
        <v>4342.53</v>
      </c>
      <c r="I552">
        <v>4357.49</v>
      </c>
      <c r="J552" t="s">
        <v>30</v>
      </c>
      <c r="K552">
        <v>0.08</v>
      </c>
      <c r="L552" t="s">
        <v>27</v>
      </c>
      <c r="M552" t="s">
        <v>19</v>
      </c>
      <c r="N552" t="s">
        <v>48</v>
      </c>
      <c r="O552" t="str">
        <f t="shared" si="40"/>
        <v>Jul</v>
      </c>
      <c r="P552" t="str">
        <f t="shared" si="41"/>
        <v>Friday</v>
      </c>
      <c r="Q552">
        <f t="shared" si="42"/>
        <v>51936.658800000005</v>
      </c>
      <c r="R552">
        <f t="shared" si="43"/>
        <v>194.48000000000047</v>
      </c>
      <c r="S552">
        <f t="shared" si="44"/>
        <v>178.92160000000044</v>
      </c>
    </row>
    <row r="553" spans="1:19" x14ac:dyDescent="0.3">
      <c r="A553">
        <v>1033</v>
      </c>
      <c r="B553" s="1">
        <v>45227</v>
      </c>
      <c r="C553" t="s">
        <v>24</v>
      </c>
      <c r="D553" t="s">
        <v>15</v>
      </c>
      <c r="E553">
        <v>1115.42</v>
      </c>
      <c r="F553">
        <v>43</v>
      </c>
      <c r="G553" t="s">
        <v>29</v>
      </c>
      <c r="H553">
        <v>4781.42</v>
      </c>
      <c r="I553">
        <v>4864.34</v>
      </c>
      <c r="J553" t="s">
        <v>17</v>
      </c>
      <c r="K553">
        <v>0.25</v>
      </c>
      <c r="L553" t="s">
        <v>27</v>
      </c>
      <c r="M553" t="s">
        <v>19</v>
      </c>
      <c r="N553" t="s">
        <v>45</v>
      </c>
      <c r="O553" t="str">
        <f t="shared" si="40"/>
        <v>Oct</v>
      </c>
      <c r="P553" t="str">
        <f t="shared" si="41"/>
        <v>Saturday</v>
      </c>
      <c r="Q553">
        <f t="shared" si="42"/>
        <v>154200.79499999998</v>
      </c>
      <c r="R553">
        <f t="shared" si="43"/>
        <v>3565.5600000000031</v>
      </c>
      <c r="S553">
        <f t="shared" si="44"/>
        <v>2674.1700000000023</v>
      </c>
    </row>
    <row r="554" spans="1:19" x14ac:dyDescent="0.3">
      <c r="A554">
        <v>1061</v>
      </c>
      <c r="B554" s="1">
        <v>45024</v>
      </c>
      <c r="C554" t="s">
        <v>33</v>
      </c>
      <c r="D554" t="s">
        <v>34</v>
      </c>
      <c r="E554">
        <v>3988.03</v>
      </c>
      <c r="F554">
        <v>29</v>
      </c>
      <c r="G554" t="s">
        <v>29</v>
      </c>
      <c r="H554">
        <v>1221.74</v>
      </c>
      <c r="I554">
        <v>1611.92</v>
      </c>
      <c r="J554" t="s">
        <v>30</v>
      </c>
      <c r="K554">
        <v>0.15</v>
      </c>
      <c r="L554" t="s">
        <v>18</v>
      </c>
      <c r="M554" t="s">
        <v>22</v>
      </c>
      <c r="N554" t="s">
        <v>36</v>
      </c>
      <c r="O554" t="str">
        <f t="shared" si="40"/>
        <v>Apr</v>
      </c>
      <c r="P554" t="str">
        <f t="shared" si="41"/>
        <v>Saturday</v>
      </c>
      <c r="Q554">
        <f t="shared" si="42"/>
        <v>30115.891</v>
      </c>
      <c r="R554">
        <f t="shared" si="43"/>
        <v>11315.220000000001</v>
      </c>
      <c r="S554">
        <f t="shared" si="44"/>
        <v>9617.9369999999999</v>
      </c>
    </row>
    <row r="555" spans="1:19" x14ac:dyDescent="0.3">
      <c r="A555">
        <v>1051</v>
      </c>
      <c r="B555" s="1">
        <v>45057</v>
      </c>
      <c r="C555" t="s">
        <v>14</v>
      </c>
      <c r="D555" t="s">
        <v>15</v>
      </c>
      <c r="E555">
        <v>5578.37</v>
      </c>
      <c r="F555">
        <v>36</v>
      </c>
      <c r="G555" t="s">
        <v>26</v>
      </c>
      <c r="H555">
        <v>4418.95</v>
      </c>
      <c r="I555">
        <v>4647.87</v>
      </c>
      <c r="J555" t="s">
        <v>30</v>
      </c>
      <c r="K555">
        <v>0.04</v>
      </c>
      <c r="L555" t="s">
        <v>27</v>
      </c>
      <c r="M555" t="s">
        <v>19</v>
      </c>
      <c r="N555" t="s">
        <v>20</v>
      </c>
      <c r="O555" t="str">
        <f t="shared" si="40"/>
        <v>May</v>
      </c>
      <c r="P555" t="str">
        <f t="shared" si="41"/>
        <v>Thursday</v>
      </c>
      <c r="Q555">
        <f t="shared" si="42"/>
        <v>152718.91199999998</v>
      </c>
      <c r="R555">
        <f t="shared" si="43"/>
        <v>8241.1200000000026</v>
      </c>
      <c r="S555">
        <f t="shared" si="44"/>
        <v>7911.4752000000026</v>
      </c>
    </row>
    <row r="556" spans="1:19"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c r="O556" t="str">
        <f t="shared" si="40"/>
        <v>Oct</v>
      </c>
      <c r="P556" t="str">
        <f t="shared" si="41"/>
        <v>Friday</v>
      </c>
      <c r="Q556">
        <f t="shared" si="42"/>
        <v>9678.5303999999996</v>
      </c>
      <c r="R556">
        <f t="shared" si="43"/>
        <v>5044.1599999999798</v>
      </c>
      <c r="S556">
        <f t="shared" si="44"/>
        <v>4186.6527999999835</v>
      </c>
    </row>
    <row r="557" spans="1:19" x14ac:dyDescent="0.3">
      <c r="A557">
        <v>1012</v>
      </c>
      <c r="B557" s="1">
        <v>45097</v>
      </c>
      <c r="C557" t="s">
        <v>42</v>
      </c>
      <c r="D557" t="s">
        <v>25</v>
      </c>
      <c r="E557">
        <v>2019.24</v>
      </c>
      <c r="F557">
        <v>47</v>
      </c>
      <c r="G557" t="s">
        <v>29</v>
      </c>
      <c r="H557">
        <v>325.75</v>
      </c>
      <c r="I557">
        <v>803.71</v>
      </c>
      <c r="J557" t="s">
        <v>30</v>
      </c>
      <c r="K557">
        <v>0.12</v>
      </c>
      <c r="L557" t="s">
        <v>27</v>
      </c>
      <c r="M557" t="s">
        <v>22</v>
      </c>
      <c r="N557" t="s">
        <v>43</v>
      </c>
      <c r="O557" t="str">
        <f t="shared" si="40"/>
        <v>Jun</v>
      </c>
      <c r="P557" t="str">
        <f t="shared" si="41"/>
        <v>Tuesday</v>
      </c>
      <c r="Q557">
        <f t="shared" si="42"/>
        <v>13473.02</v>
      </c>
      <c r="R557">
        <f t="shared" si="43"/>
        <v>22464.120000000003</v>
      </c>
      <c r="S557">
        <f t="shared" si="44"/>
        <v>19768.425600000002</v>
      </c>
    </row>
    <row r="558" spans="1:19" x14ac:dyDescent="0.3">
      <c r="A558">
        <v>1067</v>
      </c>
      <c r="B558" s="1">
        <v>45109</v>
      </c>
      <c r="C558" t="s">
        <v>42</v>
      </c>
      <c r="D558" t="s">
        <v>15</v>
      </c>
      <c r="E558">
        <v>8602.2900000000009</v>
      </c>
      <c r="F558">
        <v>36</v>
      </c>
      <c r="G558" t="s">
        <v>35</v>
      </c>
      <c r="H558">
        <v>689.66</v>
      </c>
      <c r="I558">
        <v>1150.28</v>
      </c>
      <c r="J558" t="s">
        <v>30</v>
      </c>
      <c r="K558">
        <v>0.2</v>
      </c>
      <c r="L558" t="s">
        <v>27</v>
      </c>
      <c r="M558" t="s">
        <v>19</v>
      </c>
      <c r="N558" t="s">
        <v>49</v>
      </c>
      <c r="O558" t="str">
        <f t="shared" si="40"/>
        <v>Jul</v>
      </c>
      <c r="P558" t="str">
        <f t="shared" si="41"/>
        <v>Sunday</v>
      </c>
      <c r="Q558">
        <f t="shared" si="42"/>
        <v>19862.207999999999</v>
      </c>
      <c r="R558">
        <f t="shared" si="43"/>
        <v>16582.32</v>
      </c>
      <c r="S558">
        <f t="shared" si="44"/>
        <v>13265.856</v>
      </c>
    </row>
    <row r="559" spans="1:19" x14ac:dyDescent="0.3">
      <c r="A559">
        <v>1065</v>
      </c>
      <c r="B559" s="1">
        <v>45290</v>
      </c>
      <c r="C559" t="s">
        <v>24</v>
      </c>
      <c r="D559" t="s">
        <v>25</v>
      </c>
      <c r="E559">
        <v>6801.71</v>
      </c>
      <c r="F559">
        <v>9</v>
      </c>
      <c r="G559" t="s">
        <v>29</v>
      </c>
      <c r="H559">
        <v>335.82</v>
      </c>
      <c r="I559">
        <v>498.31</v>
      </c>
      <c r="J559" t="s">
        <v>30</v>
      </c>
      <c r="K559">
        <v>0.26</v>
      </c>
      <c r="L559" t="s">
        <v>18</v>
      </c>
      <c r="M559" t="s">
        <v>22</v>
      </c>
      <c r="N559" t="s">
        <v>28</v>
      </c>
      <c r="O559" t="str">
        <f t="shared" si="40"/>
        <v>Dec</v>
      </c>
      <c r="P559" t="str">
        <f t="shared" si="41"/>
        <v>Saturday</v>
      </c>
      <c r="Q559">
        <f t="shared" si="42"/>
        <v>2236.5612000000001</v>
      </c>
      <c r="R559">
        <f t="shared" si="43"/>
        <v>1462.41</v>
      </c>
      <c r="S559">
        <f t="shared" si="44"/>
        <v>1082.1834000000001</v>
      </c>
    </row>
    <row r="560" spans="1:19"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c r="O560" t="str">
        <f t="shared" si="40"/>
        <v>Feb</v>
      </c>
      <c r="P560" t="str">
        <f t="shared" si="41"/>
        <v>Wednesday</v>
      </c>
      <c r="Q560">
        <f t="shared" si="42"/>
        <v>145270.03920000003</v>
      </c>
      <c r="R560">
        <f t="shared" si="43"/>
        <v>4385.1599999999844</v>
      </c>
      <c r="S560">
        <f t="shared" si="44"/>
        <v>3858.9407999999862</v>
      </c>
    </row>
    <row r="561" spans="1:19" x14ac:dyDescent="0.3">
      <c r="A561">
        <v>1040</v>
      </c>
      <c r="B561" s="1">
        <v>44941</v>
      </c>
      <c r="C561" t="s">
        <v>33</v>
      </c>
      <c r="D561" t="s">
        <v>15</v>
      </c>
      <c r="E561">
        <v>8601.77</v>
      </c>
      <c r="F561">
        <v>19</v>
      </c>
      <c r="G561" t="s">
        <v>16</v>
      </c>
      <c r="H561">
        <v>342.3</v>
      </c>
      <c r="I561">
        <v>768.06</v>
      </c>
      <c r="J561" t="s">
        <v>17</v>
      </c>
      <c r="K561">
        <v>0.09</v>
      </c>
      <c r="L561" t="s">
        <v>31</v>
      </c>
      <c r="M561" t="s">
        <v>19</v>
      </c>
      <c r="N561" t="s">
        <v>53</v>
      </c>
      <c r="O561" t="str">
        <f t="shared" si="40"/>
        <v>Jan</v>
      </c>
      <c r="P561" t="str">
        <f t="shared" si="41"/>
        <v>Sunday</v>
      </c>
      <c r="Q561">
        <f t="shared" si="42"/>
        <v>5918.3670000000002</v>
      </c>
      <c r="R561">
        <f t="shared" si="43"/>
        <v>8089.4399999999987</v>
      </c>
      <c r="S561">
        <f t="shared" si="44"/>
        <v>7361.3903999999993</v>
      </c>
    </row>
    <row r="562" spans="1:19" x14ac:dyDescent="0.3">
      <c r="A562">
        <v>1074</v>
      </c>
      <c r="B562" s="1">
        <v>44930</v>
      </c>
      <c r="C562" t="s">
        <v>38</v>
      </c>
      <c r="D562" t="s">
        <v>25</v>
      </c>
      <c r="E562">
        <v>7508.72</v>
      </c>
      <c r="F562">
        <v>38</v>
      </c>
      <c r="G562" t="s">
        <v>16</v>
      </c>
      <c r="H562">
        <v>1394.74</v>
      </c>
      <c r="I562">
        <v>1848.69</v>
      </c>
      <c r="J562" t="s">
        <v>17</v>
      </c>
      <c r="K562">
        <v>0</v>
      </c>
      <c r="L562" t="s">
        <v>27</v>
      </c>
      <c r="M562" t="s">
        <v>22</v>
      </c>
      <c r="N562" t="s">
        <v>39</v>
      </c>
      <c r="O562" t="str">
        <f t="shared" si="40"/>
        <v>Jan</v>
      </c>
      <c r="P562" t="str">
        <f t="shared" si="41"/>
        <v>Wednesday</v>
      </c>
      <c r="Q562">
        <f t="shared" si="42"/>
        <v>53000.12</v>
      </c>
      <c r="R562">
        <f t="shared" si="43"/>
        <v>17250.100000000002</v>
      </c>
      <c r="S562">
        <f t="shared" si="44"/>
        <v>17250.100000000002</v>
      </c>
    </row>
    <row r="563" spans="1:19" x14ac:dyDescent="0.3">
      <c r="A563">
        <v>1043</v>
      </c>
      <c r="B563" s="1">
        <v>45275</v>
      </c>
      <c r="C563" t="s">
        <v>24</v>
      </c>
      <c r="D563" t="s">
        <v>21</v>
      </c>
      <c r="E563">
        <v>4448.18</v>
      </c>
      <c r="F563">
        <v>6</v>
      </c>
      <c r="G563" t="s">
        <v>29</v>
      </c>
      <c r="H563">
        <v>563.59</v>
      </c>
      <c r="I563">
        <v>838.97</v>
      </c>
      <c r="J563" t="s">
        <v>30</v>
      </c>
      <c r="K563">
        <v>0.17</v>
      </c>
      <c r="L563" t="s">
        <v>31</v>
      </c>
      <c r="M563" t="s">
        <v>19</v>
      </c>
      <c r="N563" t="s">
        <v>47</v>
      </c>
      <c r="O563" t="str">
        <f t="shared" si="40"/>
        <v>Dec</v>
      </c>
      <c r="P563" t="str">
        <f t="shared" si="41"/>
        <v>Friday</v>
      </c>
      <c r="Q563">
        <f t="shared" si="42"/>
        <v>2806.6781999999998</v>
      </c>
      <c r="R563">
        <f t="shared" si="43"/>
        <v>1652.28</v>
      </c>
      <c r="S563">
        <f t="shared" si="44"/>
        <v>1371.3924</v>
      </c>
    </row>
    <row r="564" spans="1:19" x14ac:dyDescent="0.3">
      <c r="A564">
        <v>1044</v>
      </c>
      <c r="B564" s="1">
        <v>45136</v>
      </c>
      <c r="C564" t="s">
        <v>42</v>
      </c>
      <c r="D564" t="s">
        <v>15</v>
      </c>
      <c r="E564">
        <v>6144.41</v>
      </c>
      <c r="F564">
        <v>47</v>
      </c>
      <c r="G564" t="s">
        <v>35</v>
      </c>
      <c r="H564">
        <v>1512.34</v>
      </c>
      <c r="I564">
        <v>1830.76</v>
      </c>
      <c r="J564" t="s">
        <v>30</v>
      </c>
      <c r="K564">
        <v>0.12</v>
      </c>
      <c r="L564" t="s">
        <v>27</v>
      </c>
      <c r="M564" t="s">
        <v>19</v>
      </c>
      <c r="N564" t="s">
        <v>49</v>
      </c>
      <c r="O564" t="str">
        <f t="shared" si="40"/>
        <v>Jul</v>
      </c>
      <c r="P564" t="str">
        <f t="shared" si="41"/>
        <v>Saturday</v>
      </c>
      <c r="Q564">
        <f t="shared" si="42"/>
        <v>62550.382399999995</v>
      </c>
      <c r="R564">
        <f t="shared" si="43"/>
        <v>14965.740000000003</v>
      </c>
      <c r="S564">
        <f t="shared" si="44"/>
        <v>13169.851200000003</v>
      </c>
    </row>
    <row r="565" spans="1:19" x14ac:dyDescent="0.3">
      <c r="A565">
        <v>1029</v>
      </c>
      <c r="B565" s="1">
        <v>45087</v>
      </c>
      <c r="C565" t="s">
        <v>38</v>
      </c>
      <c r="D565" t="s">
        <v>34</v>
      </c>
      <c r="E565">
        <v>1687.62</v>
      </c>
      <c r="F565">
        <v>15</v>
      </c>
      <c r="G565" t="s">
        <v>29</v>
      </c>
      <c r="H565">
        <v>498.27</v>
      </c>
      <c r="I565">
        <v>634.16</v>
      </c>
      <c r="J565" t="s">
        <v>17</v>
      </c>
      <c r="K565">
        <v>0.11</v>
      </c>
      <c r="L565" t="s">
        <v>31</v>
      </c>
      <c r="M565" t="s">
        <v>22</v>
      </c>
      <c r="N565" t="s">
        <v>48</v>
      </c>
      <c r="O565" t="str">
        <f t="shared" si="40"/>
        <v>Jun</v>
      </c>
      <c r="P565" t="str">
        <f t="shared" si="41"/>
        <v>Saturday</v>
      </c>
      <c r="Q565">
        <f t="shared" si="42"/>
        <v>6651.9044999999996</v>
      </c>
      <c r="R565">
        <f t="shared" si="43"/>
        <v>2038.35</v>
      </c>
      <c r="S565">
        <f t="shared" si="44"/>
        <v>1814.1315</v>
      </c>
    </row>
    <row r="566" spans="1:19"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c r="O566" t="str">
        <f t="shared" si="40"/>
        <v>Jan</v>
      </c>
      <c r="P566" t="str">
        <f t="shared" si="41"/>
        <v>Monday</v>
      </c>
      <c r="Q566">
        <f t="shared" si="42"/>
        <v>63775.779999999992</v>
      </c>
      <c r="R566">
        <f t="shared" si="43"/>
        <v>8047.7999999998065</v>
      </c>
      <c r="S566">
        <f t="shared" si="44"/>
        <v>7645.4099999998161</v>
      </c>
    </row>
    <row r="567" spans="1:19" x14ac:dyDescent="0.3">
      <c r="A567">
        <v>1012</v>
      </c>
      <c r="B567" s="1">
        <v>45034</v>
      </c>
      <c r="C567" t="s">
        <v>42</v>
      </c>
      <c r="D567" t="s">
        <v>25</v>
      </c>
      <c r="E567">
        <v>1874.61</v>
      </c>
      <c r="F567">
        <v>9</v>
      </c>
      <c r="G567" t="s">
        <v>35</v>
      </c>
      <c r="H567">
        <v>709.97</v>
      </c>
      <c r="I567">
        <v>1029.71</v>
      </c>
      <c r="J567" t="s">
        <v>17</v>
      </c>
      <c r="K567">
        <v>0.13</v>
      </c>
      <c r="L567" t="s">
        <v>27</v>
      </c>
      <c r="M567" t="s">
        <v>22</v>
      </c>
      <c r="N567" t="s">
        <v>43</v>
      </c>
      <c r="O567" t="str">
        <f t="shared" si="40"/>
        <v>Apr</v>
      </c>
      <c r="P567" t="str">
        <f t="shared" si="41"/>
        <v>Tuesday</v>
      </c>
      <c r="Q567">
        <f t="shared" si="42"/>
        <v>5559.0651000000007</v>
      </c>
      <c r="R567">
        <f t="shared" si="43"/>
        <v>2877.66</v>
      </c>
      <c r="S567">
        <f t="shared" si="44"/>
        <v>2503.5641999999998</v>
      </c>
    </row>
    <row r="568" spans="1:19"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c r="O568" t="str">
        <f t="shared" si="40"/>
        <v>Nov</v>
      </c>
      <c r="P568" t="str">
        <f t="shared" si="41"/>
        <v>Tuesday</v>
      </c>
      <c r="Q568">
        <f t="shared" si="42"/>
        <v>95572.736000000004</v>
      </c>
      <c r="R568">
        <f t="shared" si="43"/>
        <v>8215.039999999979</v>
      </c>
      <c r="S568">
        <f t="shared" si="44"/>
        <v>5750.5279999999848</v>
      </c>
    </row>
    <row r="569" spans="1:19" x14ac:dyDescent="0.3">
      <c r="A569">
        <v>1046</v>
      </c>
      <c r="B569" s="1">
        <v>45153</v>
      </c>
      <c r="C569" t="s">
        <v>42</v>
      </c>
      <c r="D569" t="s">
        <v>25</v>
      </c>
      <c r="E569">
        <v>2373.02</v>
      </c>
      <c r="F569">
        <v>4</v>
      </c>
      <c r="G569" t="s">
        <v>16</v>
      </c>
      <c r="H569">
        <v>4095.1</v>
      </c>
      <c r="I569">
        <v>4134.55</v>
      </c>
      <c r="J569" t="s">
        <v>17</v>
      </c>
      <c r="K569">
        <v>0.09</v>
      </c>
      <c r="L569" t="s">
        <v>27</v>
      </c>
      <c r="M569" t="s">
        <v>22</v>
      </c>
      <c r="N569" t="s">
        <v>43</v>
      </c>
      <c r="O569" t="str">
        <f t="shared" si="40"/>
        <v>Aug</v>
      </c>
      <c r="P569" t="str">
        <f t="shared" si="41"/>
        <v>Tuesday</v>
      </c>
      <c r="Q569">
        <f t="shared" si="42"/>
        <v>14906.164000000001</v>
      </c>
      <c r="R569">
        <f t="shared" si="43"/>
        <v>157.80000000000109</v>
      </c>
      <c r="S569">
        <f t="shared" si="44"/>
        <v>143.59800000000101</v>
      </c>
    </row>
    <row r="570" spans="1:19"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c r="O570" t="str">
        <f t="shared" si="40"/>
        <v>Jun</v>
      </c>
      <c r="P570" t="str">
        <f t="shared" si="41"/>
        <v>Monday</v>
      </c>
      <c r="Q570">
        <f t="shared" si="42"/>
        <v>1736.2188000000003</v>
      </c>
      <c r="R570">
        <f t="shared" si="43"/>
        <v>8258.5800000000017</v>
      </c>
      <c r="S570">
        <f t="shared" si="44"/>
        <v>6772.035600000002</v>
      </c>
    </row>
    <row r="571" spans="1:19"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c r="O571" t="str">
        <f t="shared" si="40"/>
        <v>Feb</v>
      </c>
      <c r="P571" t="str">
        <f t="shared" si="41"/>
        <v>Friday</v>
      </c>
      <c r="Q571">
        <f t="shared" si="42"/>
        <v>17262.822500000002</v>
      </c>
      <c r="R571">
        <f t="shared" si="43"/>
        <v>1557.8499999999985</v>
      </c>
      <c r="S571">
        <f t="shared" si="44"/>
        <v>1199.5444999999988</v>
      </c>
    </row>
    <row r="572" spans="1:19" x14ac:dyDescent="0.3">
      <c r="A572">
        <v>1087</v>
      </c>
      <c r="B572" s="1">
        <v>45177</v>
      </c>
      <c r="C572" t="s">
        <v>33</v>
      </c>
      <c r="D572" t="s">
        <v>15</v>
      </c>
      <c r="E572">
        <v>119.72</v>
      </c>
      <c r="F572">
        <v>20</v>
      </c>
      <c r="G572" t="s">
        <v>29</v>
      </c>
      <c r="H572">
        <v>193.27</v>
      </c>
      <c r="I572">
        <v>297.69</v>
      </c>
      <c r="J572" t="s">
        <v>30</v>
      </c>
      <c r="K572">
        <v>0.22</v>
      </c>
      <c r="L572" t="s">
        <v>18</v>
      </c>
      <c r="M572" t="s">
        <v>19</v>
      </c>
      <c r="N572" t="s">
        <v>53</v>
      </c>
      <c r="O572" t="str">
        <f t="shared" si="40"/>
        <v>Sep</v>
      </c>
      <c r="P572" t="str">
        <f t="shared" si="41"/>
        <v>Friday</v>
      </c>
      <c r="Q572">
        <f t="shared" si="42"/>
        <v>3015.0120000000002</v>
      </c>
      <c r="R572">
        <f t="shared" si="43"/>
        <v>2088.3999999999996</v>
      </c>
      <c r="S572">
        <f t="shared" si="44"/>
        <v>1628.9519999999998</v>
      </c>
    </row>
    <row r="573" spans="1:19" x14ac:dyDescent="0.3">
      <c r="A573">
        <v>1081</v>
      </c>
      <c r="B573" s="1">
        <v>45173</v>
      </c>
      <c r="C573" t="s">
        <v>42</v>
      </c>
      <c r="D573" t="s">
        <v>15</v>
      </c>
      <c r="E573">
        <v>7215.52</v>
      </c>
      <c r="F573">
        <v>23</v>
      </c>
      <c r="G573" t="s">
        <v>35</v>
      </c>
      <c r="H573">
        <v>1236.25</v>
      </c>
      <c r="I573">
        <v>1543.38</v>
      </c>
      <c r="J573" t="s">
        <v>30</v>
      </c>
      <c r="K573">
        <v>0.1</v>
      </c>
      <c r="L573" t="s">
        <v>27</v>
      </c>
      <c r="M573" t="s">
        <v>19</v>
      </c>
      <c r="N573" t="s">
        <v>49</v>
      </c>
      <c r="O573" t="str">
        <f t="shared" si="40"/>
        <v>Sep</v>
      </c>
      <c r="P573" t="str">
        <f t="shared" si="41"/>
        <v>Monday</v>
      </c>
      <c r="Q573">
        <f t="shared" si="42"/>
        <v>25590.375</v>
      </c>
      <c r="R573">
        <f t="shared" si="43"/>
        <v>7063.9900000000025</v>
      </c>
      <c r="S573">
        <f t="shared" si="44"/>
        <v>6357.5910000000022</v>
      </c>
    </row>
    <row r="574" spans="1:19" x14ac:dyDescent="0.3">
      <c r="A574">
        <v>1090</v>
      </c>
      <c r="B574" s="1">
        <v>45195</v>
      </c>
      <c r="C574" t="s">
        <v>38</v>
      </c>
      <c r="D574" t="s">
        <v>15</v>
      </c>
      <c r="E574">
        <v>7350.77</v>
      </c>
      <c r="F574">
        <v>11</v>
      </c>
      <c r="G574" t="s">
        <v>35</v>
      </c>
      <c r="H574">
        <v>210.33</v>
      </c>
      <c r="I574">
        <v>552.29</v>
      </c>
      <c r="J574" t="s">
        <v>17</v>
      </c>
      <c r="K574">
        <v>0.18</v>
      </c>
      <c r="L574" t="s">
        <v>18</v>
      </c>
      <c r="M574" t="s">
        <v>22</v>
      </c>
      <c r="N574" t="s">
        <v>40</v>
      </c>
      <c r="O574" t="str">
        <f t="shared" si="40"/>
        <v>Sep</v>
      </c>
      <c r="P574" t="str">
        <f t="shared" si="41"/>
        <v>Tuesday</v>
      </c>
      <c r="Q574">
        <f t="shared" si="42"/>
        <v>1897.1766000000002</v>
      </c>
      <c r="R574">
        <f t="shared" si="43"/>
        <v>3761.559999999999</v>
      </c>
      <c r="S574">
        <f t="shared" si="44"/>
        <v>3084.4791999999993</v>
      </c>
    </row>
    <row r="575" spans="1:19" x14ac:dyDescent="0.3">
      <c r="A575">
        <v>1008</v>
      </c>
      <c r="B575" s="1">
        <v>45067</v>
      </c>
      <c r="C575" t="s">
        <v>24</v>
      </c>
      <c r="D575" t="s">
        <v>34</v>
      </c>
      <c r="E575">
        <v>5197.84</v>
      </c>
      <c r="F575">
        <v>37</v>
      </c>
      <c r="G575" t="s">
        <v>16</v>
      </c>
      <c r="H575">
        <v>1712.43</v>
      </c>
      <c r="I575">
        <v>1980.06</v>
      </c>
      <c r="J575" t="s">
        <v>30</v>
      </c>
      <c r="K575">
        <v>0.26</v>
      </c>
      <c r="L575" t="s">
        <v>18</v>
      </c>
      <c r="M575" t="s">
        <v>19</v>
      </c>
      <c r="N575" t="s">
        <v>50</v>
      </c>
      <c r="O575" t="str">
        <f t="shared" si="40"/>
        <v>May</v>
      </c>
      <c r="P575" t="str">
        <f t="shared" si="41"/>
        <v>Sunday</v>
      </c>
      <c r="Q575">
        <f t="shared" si="42"/>
        <v>46886.333400000003</v>
      </c>
      <c r="R575">
        <f t="shared" si="43"/>
        <v>9902.3099999999959</v>
      </c>
      <c r="S575">
        <f t="shared" si="44"/>
        <v>7327.709399999997</v>
      </c>
    </row>
    <row r="576" spans="1:19" x14ac:dyDescent="0.3">
      <c r="A576">
        <v>1093</v>
      </c>
      <c r="B576" s="1">
        <v>45200</v>
      </c>
      <c r="C576" t="s">
        <v>38</v>
      </c>
      <c r="D576" t="s">
        <v>34</v>
      </c>
      <c r="E576">
        <v>1697.49</v>
      </c>
      <c r="F576">
        <v>22</v>
      </c>
      <c r="G576" t="s">
        <v>35</v>
      </c>
      <c r="H576">
        <v>2593.64</v>
      </c>
      <c r="I576">
        <v>2955.5099999999902</v>
      </c>
      <c r="J576" t="s">
        <v>17</v>
      </c>
      <c r="K576">
        <v>0</v>
      </c>
      <c r="L576" t="s">
        <v>27</v>
      </c>
      <c r="M576" t="s">
        <v>22</v>
      </c>
      <c r="N576" t="s">
        <v>48</v>
      </c>
      <c r="O576" t="str">
        <f t="shared" si="40"/>
        <v>Oct</v>
      </c>
      <c r="P576" t="str">
        <f t="shared" si="41"/>
        <v>Sunday</v>
      </c>
      <c r="Q576">
        <f t="shared" si="42"/>
        <v>57060.079999999994</v>
      </c>
      <c r="R576">
        <f t="shared" si="43"/>
        <v>7961.1399999997875</v>
      </c>
      <c r="S576">
        <f t="shared" si="44"/>
        <v>7961.1399999997875</v>
      </c>
    </row>
    <row r="577" spans="1:19" x14ac:dyDescent="0.3">
      <c r="A577">
        <v>1026</v>
      </c>
      <c r="B577" s="1">
        <v>45022</v>
      </c>
      <c r="C577" t="s">
        <v>14</v>
      </c>
      <c r="D577" t="s">
        <v>25</v>
      </c>
      <c r="E577">
        <v>927.19</v>
      </c>
      <c r="F577">
        <v>4</v>
      </c>
      <c r="G577" t="s">
        <v>35</v>
      </c>
      <c r="H577">
        <v>3993.39</v>
      </c>
      <c r="I577">
        <v>4288.3</v>
      </c>
      <c r="J577" t="s">
        <v>30</v>
      </c>
      <c r="K577">
        <v>0.13</v>
      </c>
      <c r="L577" t="s">
        <v>31</v>
      </c>
      <c r="M577" t="s">
        <v>19</v>
      </c>
      <c r="N577" t="s">
        <v>32</v>
      </c>
      <c r="O577" t="str">
        <f t="shared" si="40"/>
        <v>Apr</v>
      </c>
      <c r="P577" t="str">
        <f t="shared" si="41"/>
        <v>Thursday</v>
      </c>
      <c r="Q577">
        <f t="shared" si="42"/>
        <v>13896.9972</v>
      </c>
      <c r="R577">
        <f t="shared" si="43"/>
        <v>1179.6400000000012</v>
      </c>
      <c r="S577">
        <f t="shared" si="44"/>
        <v>1026.286800000001</v>
      </c>
    </row>
    <row r="578" spans="1:19"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c r="O578" t="str">
        <f t="shared" si="40"/>
        <v>Aug</v>
      </c>
      <c r="P578" t="str">
        <f t="shared" si="41"/>
        <v>Tuesday</v>
      </c>
      <c r="Q578">
        <f t="shared" si="42"/>
        <v>46469.579699999995</v>
      </c>
      <c r="R578">
        <f t="shared" si="43"/>
        <v>13757.890000000003</v>
      </c>
      <c r="S578">
        <f t="shared" si="44"/>
        <v>12794.837700000002</v>
      </c>
    </row>
    <row r="579" spans="1:19" x14ac:dyDescent="0.3">
      <c r="A579">
        <v>1090</v>
      </c>
      <c r="B579" s="1">
        <v>44965</v>
      </c>
      <c r="C579" t="s">
        <v>33</v>
      </c>
      <c r="D579" t="s">
        <v>15</v>
      </c>
      <c r="E579">
        <v>1740.91</v>
      </c>
      <c r="F579">
        <v>44</v>
      </c>
      <c r="G579" t="s">
        <v>29</v>
      </c>
      <c r="H579">
        <v>3542.18</v>
      </c>
      <c r="I579">
        <v>3578.49</v>
      </c>
      <c r="J579" t="s">
        <v>17</v>
      </c>
      <c r="K579">
        <v>0.12</v>
      </c>
      <c r="L579" t="s">
        <v>18</v>
      </c>
      <c r="M579" t="s">
        <v>19</v>
      </c>
      <c r="N579" t="s">
        <v>53</v>
      </c>
      <c r="O579" t="str">
        <f t="shared" ref="O579:O642" si="45">TEXT(B579,"mmm")</f>
        <v>Feb</v>
      </c>
      <c r="P579" t="str">
        <f t="shared" ref="P579:P642" si="46">TEXT(B579,"dddd")</f>
        <v>Wednesday</v>
      </c>
      <c r="Q579">
        <f t="shared" ref="Q579:Q642" si="47">(F579*H579)*(1-K579)</f>
        <v>137153.20959999997</v>
      </c>
      <c r="R579">
        <f t="shared" ref="R579:R642" si="48">(I579-H579)*F579</f>
        <v>1597.6399999999976</v>
      </c>
      <c r="S579">
        <f t="shared" ref="S579:S642" si="49">((I579-H579)*F579)*(1-K579)</f>
        <v>1405.9231999999979</v>
      </c>
    </row>
    <row r="580" spans="1:19"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c r="O580" t="str">
        <f t="shared" si="45"/>
        <v>Oct</v>
      </c>
      <c r="P580" t="str">
        <f t="shared" si="46"/>
        <v>Sunday</v>
      </c>
      <c r="Q580">
        <f t="shared" si="47"/>
        <v>29266.248</v>
      </c>
      <c r="R580">
        <f t="shared" si="48"/>
        <v>2110.0400000000018</v>
      </c>
      <c r="S580">
        <f t="shared" si="49"/>
        <v>1856.8352000000016</v>
      </c>
    </row>
    <row r="581" spans="1:19" x14ac:dyDescent="0.3">
      <c r="A581">
        <v>1007</v>
      </c>
      <c r="B581" s="1">
        <v>44955</v>
      </c>
      <c r="C581" t="s">
        <v>33</v>
      </c>
      <c r="D581" t="s">
        <v>21</v>
      </c>
      <c r="E581">
        <v>2491.21</v>
      </c>
      <c r="F581">
        <v>13</v>
      </c>
      <c r="G581" t="s">
        <v>16</v>
      </c>
      <c r="H581">
        <v>3765.46</v>
      </c>
      <c r="I581">
        <v>3860.56</v>
      </c>
      <c r="J581" t="s">
        <v>17</v>
      </c>
      <c r="K581">
        <v>0.22</v>
      </c>
      <c r="L581" t="s">
        <v>18</v>
      </c>
      <c r="M581" t="s">
        <v>22</v>
      </c>
      <c r="N581" t="s">
        <v>37</v>
      </c>
      <c r="O581" t="str">
        <f t="shared" si="45"/>
        <v>Jan</v>
      </c>
      <c r="P581" t="str">
        <f t="shared" si="46"/>
        <v>Sunday</v>
      </c>
      <c r="Q581">
        <f t="shared" si="47"/>
        <v>38181.764400000007</v>
      </c>
      <c r="R581">
        <f t="shared" si="48"/>
        <v>1236.2999999999988</v>
      </c>
      <c r="S581">
        <f t="shared" si="49"/>
        <v>964.31399999999906</v>
      </c>
    </row>
    <row r="582" spans="1:19" x14ac:dyDescent="0.3">
      <c r="A582">
        <v>1068</v>
      </c>
      <c r="B582" s="1">
        <v>45244</v>
      </c>
      <c r="C582" t="s">
        <v>33</v>
      </c>
      <c r="D582" t="s">
        <v>21</v>
      </c>
      <c r="E582">
        <v>3607.29</v>
      </c>
      <c r="F582">
        <v>42</v>
      </c>
      <c r="G582" t="s">
        <v>29</v>
      </c>
      <c r="H582">
        <v>1218.18</v>
      </c>
      <c r="I582">
        <v>1566.36</v>
      </c>
      <c r="J582" t="s">
        <v>17</v>
      </c>
      <c r="K582">
        <v>0.03</v>
      </c>
      <c r="L582" t="s">
        <v>31</v>
      </c>
      <c r="M582" t="s">
        <v>22</v>
      </c>
      <c r="N582" t="s">
        <v>37</v>
      </c>
      <c r="O582" t="str">
        <f t="shared" si="45"/>
        <v>Nov</v>
      </c>
      <c r="P582" t="str">
        <f t="shared" si="46"/>
        <v>Tuesday</v>
      </c>
      <c r="Q582">
        <f t="shared" si="47"/>
        <v>49628.653200000001</v>
      </c>
      <c r="R582">
        <f t="shared" si="48"/>
        <v>14623.559999999994</v>
      </c>
      <c r="S582">
        <f t="shared" si="49"/>
        <v>14184.853199999994</v>
      </c>
    </row>
    <row r="583" spans="1:19" x14ac:dyDescent="0.3">
      <c r="A583">
        <v>1058</v>
      </c>
      <c r="B583" s="1">
        <v>45171</v>
      </c>
      <c r="C583" t="s">
        <v>24</v>
      </c>
      <c r="D583" t="s">
        <v>25</v>
      </c>
      <c r="E583">
        <v>1142.92</v>
      </c>
      <c r="F583">
        <v>9</v>
      </c>
      <c r="G583" t="s">
        <v>16</v>
      </c>
      <c r="H583">
        <v>760.55</v>
      </c>
      <c r="I583">
        <v>1086.8899999999901</v>
      </c>
      <c r="J583" t="s">
        <v>17</v>
      </c>
      <c r="K583">
        <v>0.15</v>
      </c>
      <c r="L583" t="s">
        <v>18</v>
      </c>
      <c r="M583" t="s">
        <v>22</v>
      </c>
      <c r="N583" t="s">
        <v>28</v>
      </c>
      <c r="O583" t="str">
        <f t="shared" si="45"/>
        <v>Sep</v>
      </c>
      <c r="P583" t="str">
        <f t="shared" si="46"/>
        <v>Saturday</v>
      </c>
      <c r="Q583">
        <f t="shared" si="47"/>
        <v>5818.2074999999995</v>
      </c>
      <c r="R583">
        <f t="shared" si="48"/>
        <v>2937.0599999999113</v>
      </c>
      <c r="S583">
        <f t="shared" si="49"/>
        <v>2496.5009999999247</v>
      </c>
    </row>
    <row r="584" spans="1:19" x14ac:dyDescent="0.3">
      <c r="A584">
        <v>1075</v>
      </c>
      <c r="B584" s="1">
        <v>45162</v>
      </c>
      <c r="C584" t="s">
        <v>33</v>
      </c>
      <c r="D584" t="s">
        <v>21</v>
      </c>
      <c r="E584">
        <v>2301.38</v>
      </c>
      <c r="F584">
        <v>42</v>
      </c>
      <c r="G584" t="s">
        <v>29</v>
      </c>
      <c r="H584">
        <v>967.77</v>
      </c>
      <c r="I584">
        <v>1414.88</v>
      </c>
      <c r="J584" t="s">
        <v>30</v>
      </c>
      <c r="K584">
        <v>0.17</v>
      </c>
      <c r="L584" t="s">
        <v>27</v>
      </c>
      <c r="M584" t="s">
        <v>19</v>
      </c>
      <c r="N584" t="s">
        <v>37</v>
      </c>
      <c r="O584" t="str">
        <f t="shared" si="45"/>
        <v>Aug</v>
      </c>
      <c r="P584" t="str">
        <f t="shared" si="46"/>
        <v>Thursday</v>
      </c>
      <c r="Q584">
        <f t="shared" si="47"/>
        <v>33736.462199999994</v>
      </c>
      <c r="R584">
        <f t="shared" si="48"/>
        <v>18778.620000000006</v>
      </c>
      <c r="S584">
        <f t="shared" si="49"/>
        <v>15586.254600000004</v>
      </c>
    </row>
    <row r="585" spans="1:19" x14ac:dyDescent="0.3">
      <c r="A585">
        <v>1029</v>
      </c>
      <c r="B585" s="1">
        <v>45111</v>
      </c>
      <c r="C585" t="s">
        <v>33</v>
      </c>
      <c r="D585" t="s">
        <v>15</v>
      </c>
      <c r="E585">
        <v>5240.32</v>
      </c>
      <c r="F585">
        <v>31</v>
      </c>
      <c r="G585" t="s">
        <v>16</v>
      </c>
      <c r="H585">
        <v>951.21</v>
      </c>
      <c r="I585">
        <v>1320.32</v>
      </c>
      <c r="J585" t="s">
        <v>30</v>
      </c>
      <c r="K585">
        <v>0.15</v>
      </c>
      <c r="L585" t="s">
        <v>18</v>
      </c>
      <c r="M585" t="s">
        <v>19</v>
      </c>
      <c r="N585" t="s">
        <v>53</v>
      </c>
      <c r="O585" t="str">
        <f t="shared" si="45"/>
        <v>Jul</v>
      </c>
      <c r="P585" t="str">
        <f t="shared" si="46"/>
        <v>Tuesday</v>
      </c>
      <c r="Q585">
        <f t="shared" si="47"/>
        <v>25064.3835</v>
      </c>
      <c r="R585">
        <f t="shared" si="48"/>
        <v>11442.409999999996</v>
      </c>
      <c r="S585">
        <f t="shared" si="49"/>
        <v>9726.0484999999971</v>
      </c>
    </row>
    <row r="586" spans="1:19" x14ac:dyDescent="0.3">
      <c r="A586">
        <v>1036</v>
      </c>
      <c r="B586" s="1">
        <v>45198</v>
      </c>
      <c r="C586" t="s">
        <v>14</v>
      </c>
      <c r="D586" t="s">
        <v>15</v>
      </c>
      <c r="E586">
        <v>6116.75</v>
      </c>
      <c r="F586">
        <v>7</v>
      </c>
      <c r="G586" t="s">
        <v>29</v>
      </c>
      <c r="H586">
        <v>2588.67</v>
      </c>
      <c r="I586">
        <v>2847.76</v>
      </c>
      <c r="J586" t="s">
        <v>30</v>
      </c>
      <c r="K586">
        <v>0.22</v>
      </c>
      <c r="L586" t="s">
        <v>18</v>
      </c>
      <c r="M586" t="s">
        <v>22</v>
      </c>
      <c r="N586" t="s">
        <v>20</v>
      </c>
      <c r="O586" t="str">
        <f t="shared" si="45"/>
        <v>Sep</v>
      </c>
      <c r="P586" t="str">
        <f t="shared" si="46"/>
        <v>Friday</v>
      </c>
      <c r="Q586">
        <f t="shared" si="47"/>
        <v>14134.138200000003</v>
      </c>
      <c r="R586">
        <f t="shared" si="48"/>
        <v>1813.630000000001</v>
      </c>
      <c r="S586">
        <f t="shared" si="49"/>
        <v>1414.6314000000009</v>
      </c>
    </row>
    <row r="587" spans="1:19"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c r="O587" t="str">
        <f t="shared" si="45"/>
        <v>Aug</v>
      </c>
      <c r="P587" t="str">
        <f t="shared" si="46"/>
        <v>Thursday</v>
      </c>
      <c r="Q587">
        <f t="shared" si="47"/>
        <v>14895.76</v>
      </c>
      <c r="R587">
        <f t="shared" si="48"/>
        <v>1984</v>
      </c>
      <c r="S587">
        <f t="shared" si="49"/>
        <v>1745.92</v>
      </c>
    </row>
    <row r="588" spans="1:19"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c r="O588" t="str">
        <f t="shared" si="45"/>
        <v>Aug</v>
      </c>
      <c r="P588" t="str">
        <f t="shared" si="46"/>
        <v>Sunday</v>
      </c>
      <c r="Q588">
        <f t="shared" si="47"/>
        <v>6074.6040000000003</v>
      </c>
      <c r="R588">
        <f t="shared" si="48"/>
        <v>2667.4100000000008</v>
      </c>
      <c r="S588">
        <f t="shared" si="49"/>
        <v>1920.5352000000005</v>
      </c>
    </row>
    <row r="589" spans="1:19"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c r="O589" t="str">
        <f t="shared" si="45"/>
        <v>Sep</v>
      </c>
      <c r="P589" t="str">
        <f t="shared" si="46"/>
        <v>Saturday</v>
      </c>
      <c r="Q589">
        <f t="shared" si="47"/>
        <v>128205.41159999999</v>
      </c>
      <c r="R589">
        <f t="shared" si="48"/>
        <v>17566.919999999591</v>
      </c>
      <c r="S589">
        <f t="shared" si="49"/>
        <v>15107.551199999647</v>
      </c>
    </row>
    <row r="590" spans="1:19" x14ac:dyDescent="0.3">
      <c r="A590">
        <v>1010</v>
      </c>
      <c r="B590" s="1">
        <v>45285</v>
      </c>
      <c r="C590" t="s">
        <v>24</v>
      </c>
      <c r="D590" t="s">
        <v>25</v>
      </c>
      <c r="E590">
        <v>2418.61</v>
      </c>
      <c r="F590">
        <v>30</v>
      </c>
      <c r="G590" t="s">
        <v>26</v>
      </c>
      <c r="H590">
        <v>3289.01</v>
      </c>
      <c r="I590">
        <v>3508.14</v>
      </c>
      <c r="J590" t="s">
        <v>30</v>
      </c>
      <c r="K590">
        <v>0.17</v>
      </c>
      <c r="L590" t="s">
        <v>27</v>
      </c>
      <c r="M590" t="s">
        <v>22</v>
      </c>
      <c r="N590" t="s">
        <v>28</v>
      </c>
      <c r="O590" t="str">
        <f t="shared" si="45"/>
        <v>Dec</v>
      </c>
      <c r="P590" t="str">
        <f t="shared" si="46"/>
        <v>Monday</v>
      </c>
      <c r="Q590">
        <f t="shared" si="47"/>
        <v>81896.349000000002</v>
      </c>
      <c r="R590">
        <f t="shared" si="48"/>
        <v>6573.8999999999896</v>
      </c>
      <c r="S590">
        <f t="shared" si="49"/>
        <v>5456.3369999999913</v>
      </c>
    </row>
    <row r="591" spans="1:19"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c r="O591" t="str">
        <f t="shared" si="45"/>
        <v>Dec</v>
      </c>
      <c r="P591" t="str">
        <f t="shared" si="46"/>
        <v>Wednesday</v>
      </c>
      <c r="Q591">
        <f t="shared" si="47"/>
        <v>101578.55250000001</v>
      </c>
      <c r="R591">
        <f t="shared" si="48"/>
        <v>10164.280000000002</v>
      </c>
      <c r="S591">
        <f t="shared" si="49"/>
        <v>7623.2100000000019</v>
      </c>
    </row>
    <row r="592" spans="1:19"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c r="O592" t="str">
        <f t="shared" si="45"/>
        <v>Mar</v>
      </c>
      <c r="P592" t="str">
        <f t="shared" si="46"/>
        <v>Monday</v>
      </c>
      <c r="Q592">
        <f t="shared" si="47"/>
        <v>40524.665999999997</v>
      </c>
      <c r="R592">
        <f t="shared" si="48"/>
        <v>12822.599999999655</v>
      </c>
      <c r="S592">
        <f t="shared" si="49"/>
        <v>11796.791999999683</v>
      </c>
    </row>
    <row r="593" spans="1:19" x14ac:dyDescent="0.3">
      <c r="A593">
        <v>1064</v>
      </c>
      <c r="B593" s="1">
        <v>45103</v>
      </c>
      <c r="C593" t="s">
        <v>42</v>
      </c>
      <c r="D593" t="s">
        <v>15</v>
      </c>
      <c r="E593">
        <v>6201.37</v>
      </c>
      <c r="F593">
        <v>21</v>
      </c>
      <c r="G593" t="s">
        <v>29</v>
      </c>
      <c r="H593">
        <v>2278.04</v>
      </c>
      <c r="I593">
        <v>2598.58</v>
      </c>
      <c r="J593" t="s">
        <v>17</v>
      </c>
      <c r="K593">
        <v>0.02</v>
      </c>
      <c r="L593" t="s">
        <v>31</v>
      </c>
      <c r="M593" t="s">
        <v>22</v>
      </c>
      <c r="N593" t="s">
        <v>49</v>
      </c>
      <c r="O593" t="str">
        <f t="shared" si="45"/>
        <v>Jun</v>
      </c>
      <c r="P593" t="str">
        <f t="shared" si="46"/>
        <v>Monday</v>
      </c>
      <c r="Q593">
        <f t="shared" si="47"/>
        <v>46882.063199999997</v>
      </c>
      <c r="R593">
        <f t="shared" si="48"/>
        <v>6731.3399999999992</v>
      </c>
      <c r="S593">
        <f t="shared" si="49"/>
        <v>6596.7131999999992</v>
      </c>
    </row>
    <row r="594" spans="1:19" x14ac:dyDescent="0.3">
      <c r="A594">
        <v>1099</v>
      </c>
      <c r="B594" s="1">
        <v>44929</v>
      </c>
      <c r="C594" t="s">
        <v>14</v>
      </c>
      <c r="D594" t="s">
        <v>34</v>
      </c>
      <c r="E594">
        <v>5613.1</v>
      </c>
      <c r="F594">
        <v>31</v>
      </c>
      <c r="G594" t="s">
        <v>16</v>
      </c>
      <c r="H594">
        <v>4632.8500000000004</v>
      </c>
      <c r="I594">
        <v>4711.7</v>
      </c>
      <c r="J594" t="s">
        <v>30</v>
      </c>
      <c r="K594">
        <v>0.21</v>
      </c>
      <c r="L594" t="s">
        <v>18</v>
      </c>
      <c r="M594" t="s">
        <v>22</v>
      </c>
      <c r="N594" t="s">
        <v>46</v>
      </c>
      <c r="O594" t="str">
        <f t="shared" si="45"/>
        <v>Jan</v>
      </c>
      <c r="P594" t="str">
        <f t="shared" si="46"/>
        <v>Tuesday</v>
      </c>
      <c r="Q594">
        <f t="shared" si="47"/>
        <v>113458.49650000001</v>
      </c>
      <c r="R594">
        <f t="shared" si="48"/>
        <v>2444.3499999999831</v>
      </c>
      <c r="S594">
        <f t="shared" si="49"/>
        <v>1931.0364999999867</v>
      </c>
    </row>
    <row r="595" spans="1:19"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c r="O595" t="str">
        <f t="shared" si="45"/>
        <v>May</v>
      </c>
      <c r="P595" t="str">
        <f t="shared" si="46"/>
        <v>Monday</v>
      </c>
      <c r="Q595">
        <f t="shared" si="47"/>
        <v>54199.289799999991</v>
      </c>
      <c r="R595">
        <f t="shared" si="48"/>
        <v>4313.9500000000035</v>
      </c>
      <c r="S595">
        <f t="shared" si="49"/>
        <v>3709.997000000003</v>
      </c>
    </row>
    <row r="596" spans="1:19" x14ac:dyDescent="0.3">
      <c r="A596">
        <v>1099</v>
      </c>
      <c r="B596" s="1">
        <v>45084</v>
      </c>
      <c r="C596" t="s">
        <v>33</v>
      </c>
      <c r="D596" t="s">
        <v>34</v>
      </c>
      <c r="E596">
        <v>4346.55</v>
      </c>
      <c r="F596">
        <v>31</v>
      </c>
      <c r="G596" t="s">
        <v>26</v>
      </c>
      <c r="H596">
        <v>1974.4</v>
      </c>
      <c r="I596">
        <v>2259.5</v>
      </c>
      <c r="J596" t="s">
        <v>30</v>
      </c>
      <c r="K596">
        <v>0.27</v>
      </c>
      <c r="L596" t="s">
        <v>18</v>
      </c>
      <c r="M596" t="s">
        <v>22</v>
      </c>
      <c r="N596" t="s">
        <v>36</v>
      </c>
      <c r="O596" t="str">
        <f t="shared" si="45"/>
        <v>Jun</v>
      </c>
      <c r="P596" t="str">
        <f t="shared" si="46"/>
        <v>Wednesday</v>
      </c>
      <c r="Q596">
        <f t="shared" si="47"/>
        <v>44680.671999999999</v>
      </c>
      <c r="R596">
        <f t="shared" si="48"/>
        <v>8838.0999999999967</v>
      </c>
      <c r="S596">
        <f t="shared" si="49"/>
        <v>6451.8129999999974</v>
      </c>
    </row>
    <row r="597" spans="1:19"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c r="O597" t="str">
        <f t="shared" si="45"/>
        <v>Nov</v>
      </c>
      <c r="P597" t="str">
        <f t="shared" si="46"/>
        <v>Monday</v>
      </c>
      <c r="Q597">
        <f t="shared" si="47"/>
        <v>15915.132799999999</v>
      </c>
      <c r="R597">
        <f t="shared" si="48"/>
        <v>13632.96</v>
      </c>
      <c r="S597">
        <f t="shared" si="49"/>
        <v>9679.4015999999992</v>
      </c>
    </row>
    <row r="598" spans="1:19" x14ac:dyDescent="0.3">
      <c r="A598">
        <v>1082</v>
      </c>
      <c r="B598" s="1">
        <v>45072</v>
      </c>
      <c r="C598" t="s">
        <v>24</v>
      </c>
      <c r="D598" t="s">
        <v>25</v>
      </c>
      <c r="E598">
        <v>6994.66</v>
      </c>
      <c r="F598">
        <v>2</v>
      </c>
      <c r="G598" t="s">
        <v>16</v>
      </c>
      <c r="H598">
        <v>1349.3</v>
      </c>
      <c r="I598">
        <v>1576.69</v>
      </c>
      <c r="J598" t="s">
        <v>17</v>
      </c>
      <c r="K598">
        <v>0.12</v>
      </c>
      <c r="L598" t="s">
        <v>31</v>
      </c>
      <c r="M598" t="s">
        <v>19</v>
      </c>
      <c r="N598" t="s">
        <v>28</v>
      </c>
      <c r="O598" t="str">
        <f t="shared" si="45"/>
        <v>May</v>
      </c>
      <c r="P598" t="str">
        <f t="shared" si="46"/>
        <v>Friday</v>
      </c>
      <c r="Q598">
        <f t="shared" si="47"/>
        <v>2374.768</v>
      </c>
      <c r="R598">
        <f t="shared" si="48"/>
        <v>454.7800000000002</v>
      </c>
      <c r="S598">
        <f t="shared" si="49"/>
        <v>400.2064000000002</v>
      </c>
    </row>
    <row r="599" spans="1:19" x14ac:dyDescent="0.3">
      <c r="A599">
        <v>1096</v>
      </c>
      <c r="B599" s="1">
        <v>45219</v>
      </c>
      <c r="C599" t="s">
        <v>24</v>
      </c>
      <c r="D599" t="s">
        <v>25</v>
      </c>
      <c r="E599">
        <v>7051.25</v>
      </c>
      <c r="F599">
        <v>10</v>
      </c>
      <c r="G599" t="s">
        <v>29</v>
      </c>
      <c r="H599">
        <v>2927.02</v>
      </c>
      <c r="I599">
        <v>3387.21</v>
      </c>
      <c r="J599" t="s">
        <v>17</v>
      </c>
      <c r="K599">
        <v>0.12</v>
      </c>
      <c r="L599" t="s">
        <v>18</v>
      </c>
      <c r="M599" t="s">
        <v>22</v>
      </c>
      <c r="N599" t="s">
        <v>28</v>
      </c>
      <c r="O599" t="str">
        <f t="shared" si="45"/>
        <v>Oct</v>
      </c>
      <c r="P599" t="str">
        <f t="shared" si="46"/>
        <v>Friday</v>
      </c>
      <c r="Q599">
        <f t="shared" si="47"/>
        <v>25757.776000000002</v>
      </c>
      <c r="R599">
        <f t="shared" si="48"/>
        <v>4601.9000000000005</v>
      </c>
      <c r="S599">
        <f t="shared" si="49"/>
        <v>4049.6720000000005</v>
      </c>
    </row>
    <row r="600" spans="1:19" x14ac:dyDescent="0.3">
      <c r="A600">
        <v>1024</v>
      </c>
      <c r="B600" s="1">
        <v>45079</v>
      </c>
      <c r="C600" t="s">
        <v>42</v>
      </c>
      <c r="D600" t="s">
        <v>21</v>
      </c>
      <c r="E600">
        <v>1799.77</v>
      </c>
      <c r="F600">
        <v>2</v>
      </c>
      <c r="G600" t="s">
        <v>16</v>
      </c>
      <c r="H600">
        <v>3604.93</v>
      </c>
      <c r="I600">
        <v>3830.71</v>
      </c>
      <c r="J600" t="s">
        <v>17</v>
      </c>
      <c r="K600">
        <v>0.12</v>
      </c>
      <c r="L600" t="s">
        <v>31</v>
      </c>
      <c r="M600" t="s">
        <v>19</v>
      </c>
      <c r="N600" t="s">
        <v>51</v>
      </c>
      <c r="O600" t="str">
        <f t="shared" si="45"/>
        <v>Jun</v>
      </c>
      <c r="P600" t="str">
        <f t="shared" si="46"/>
        <v>Friday</v>
      </c>
      <c r="Q600">
        <f t="shared" si="47"/>
        <v>6344.6768000000002</v>
      </c>
      <c r="R600">
        <f t="shared" si="48"/>
        <v>451.5600000000004</v>
      </c>
      <c r="S600">
        <f t="shared" si="49"/>
        <v>397.37280000000038</v>
      </c>
    </row>
    <row r="601" spans="1:19" x14ac:dyDescent="0.3">
      <c r="A601">
        <v>1023</v>
      </c>
      <c r="B601" s="1">
        <v>45119</v>
      </c>
      <c r="C601" t="s">
        <v>42</v>
      </c>
      <c r="D601" t="s">
        <v>15</v>
      </c>
      <c r="E601">
        <v>5051.12</v>
      </c>
      <c r="F601">
        <v>2</v>
      </c>
      <c r="G601" t="s">
        <v>26</v>
      </c>
      <c r="H601">
        <v>665.89</v>
      </c>
      <c r="I601">
        <v>944.79</v>
      </c>
      <c r="J601" t="s">
        <v>30</v>
      </c>
      <c r="K601">
        <v>0.1</v>
      </c>
      <c r="L601" t="s">
        <v>31</v>
      </c>
      <c r="M601" t="s">
        <v>22</v>
      </c>
      <c r="N601" t="s">
        <v>49</v>
      </c>
      <c r="O601" t="str">
        <f t="shared" si="45"/>
        <v>Jul</v>
      </c>
      <c r="P601" t="str">
        <f t="shared" si="46"/>
        <v>Wednesday</v>
      </c>
      <c r="Q601">
        <f t="shared" si="47"/>
        <v>1198.6020000000001</v>
      </c>
      <c r="R601">
        <f t="shared" si="48"/>
        <v>557.79999999999995</v>
      </c>
      <c r="S601">
        <f t="shared" si="49"/>
        <v>502.02</v>
      </c>
    </row>
    <row r="602" spans="1:19"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c r="O602" t="str">
        <f t="shared" si="45"/>
        <v>Mar</v>
      </c>
      <c r="P602" t="str">
        <f t="shared" si="46"/>
        <v>Tuesday</v>
      </c>
      <c r="Q602">
        <f t="shared" si="47"/>
        <v>55772.824800000002</v>
      </c>
      <c r="R602">
        <f t="shared" si="48"/>
        <v>9604.3199999999961</v>
      </c>
      <c r="S602">
        <f t="shared" si="49"/>
        <v>7395.3263999999972</v>
      </c>
    </row>
    <row r="603" spans="1:19"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c r="O603" t="str">
        <f t="shared" si="45"/>
        <v>Nov</v>
      </c>
      <c r="P603" t="str">
        <f t="shared" si="46"/>
        <v>Wednesday</v>
      </c>
      <c r="Q603">
        <f t="shared" si="47"/>
        <v>36314.801599999999</v>
      </c>
      <c r="R603">
        <f t="shared" si="48"/>
        <v>5026.8999999998341</v>
      </c>
      <c r="S603">
        <f t="shared" si="49"/>
        <v>3870.7129999998724</v>
      </c>
    </row>
    <row r="604" spans="1:19"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c r="O604" t="str">
        <f t="shared" si="45"/>
        <v>Dec</v>
      </c>
      <c r="P604" t="str">
        <f t="shared" si="46"/>
        <v>Sunday</v>
      </c>
      <c r="Q604">
        <f t="shared" si="47"/>
        <v>71389.08159999999</v>
      </c>
      <c r="R604">
        <f t="shared" si="48"/>
        <v>15376.320000000007</v>
      </c>
      <c r="S604">
        <f t="shared" si="49"/>
        <v>13223.635200000006</v>
      </c>
    </row>
    <row r="605" spans="1:19" x14ac:dyDescent="0.3">
      <c r="A605">
        <v>1012</v>
      </c>
      <c r="B605" s="1">
        <v>45066</v>
      </c>
      <c r="C605" t="s">
        <v>14</v>
      </c>
      <c r="D605" t="s">
        <v>15</v>
      </c>
      <c r="E605">
        <v>5371.79</v>
      </c>
      <c r="F605">
        <v>16</v>
      </c>
      <c r="G605" t="s">
        <v>26</v>
      </c>
      <c r="H605">
        <v>3466.11</v>
      </c>
      <c r="I605">
        <v>3799.67</v>
      </c>
      <c r="J605" t="s">
        <v>17</v>
      </c>
      <c r="K605">
        <v>0.01</v>
      </c>
      <c r="L605" t="s">
        <v>18</v>
      </c>
      <c r="M605" t="s">
        <v>22</v>
      </c>
      <c r="N605" t="s">
        <v>20</v>
      </c>
      <c r="O605" t="str">
        <f t="shared" si="45"/>
        <v>May</v>
      </c>
      <c r="P605" t="str">
        <f t="shared" si="46"/>
        <v>Saturday</v>
      </c>
      <c r="Q605">
        <f t="shared" si="47"/>
        <v>54903.182400000005</v>
      </c>
      <c r="R605">
        <f t="shared" si="48"/>
        <v>5336.9599999999991</v>
      </c>
      <c r="S605">
        <f t="shared" si="49"/>
        <v>5283.5903999999991</v>
      </c>
    </row>
    <row r="606" spans="1:19"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c r="O606" t="str">
        <f t="shared" si="45"/>
        <v>Jul</v>
      </c>
      <c r="P606" t="str">
        <f t="shared" si="46"/>
        <v>Thursday</v>
      </c>
      <c r="Q606">
        <f t="shared" si="47"/>
        <v>61084.732800000005</v>
      </c>
      <c r="R606">
        <f t="shared" si="48"/>
        <v>4258.0800000000017</v>
      </c>
      <c r="S606">
        <f t="shared" si="49"/>
        <v>3874.8528000000019</v>
      </c>
    </row>
    <row r="607" spans="1:19" x14ac:dyDescent="0.3">
      <c r="A607">
        <v>1013</v>
      </c>
      <c r="B607" s="1">
        <v>45219</v>
      </c>
      <c r="C607" t="s">
        <v>24</v>
      </c>
      <c r="D607" t="s">
        <v>34</v>
      </c>
      <c r="E607">
        <v>6095.82</v>
      </c>
      <c r="F607">
        <v>46</v>
      </c>
      <c r="G607" t="s">
        <v>35</v>
      </c>
      <c r="H607">
        <v>1648.8</v>
      </c>
      <c r="I607">
        <v>1670.36</v>
      </c>
      <c r="J607" t="s">
        <v>17</v>
      </c>
      <c r="K607">
        <v>0.09</v>
      </c>
      <c r="L607" t="s">
        <v>31</v>
      </c>
      <c r="M607" t="s">
        <v>22</v>
      </c>
      <c r="N607" t="s">
        <v>50</v>
      </c>
      <c r="O607" t="str">
        <f t="shared" si="45"/>
        <v>Oct</v>
      </c>
      <c r="P607" t="str">
        <f t="shared" si="46"/>
        <v>Friday</v>
      </c>
      <c r="Q607">
        <f t="shared" si="47"/>
        <v>69018.768000000011</v>
      </c>
      <c r="R607">
        <f t="shared" si="48"/>
        <v>991.75999999999749</v>
      </c>
      <c r="S607">
        <f t="shared" si="49"/>
        <v>902.50159999999778</v>
      </c>
    </row>
    <row r="608" spans="1:19"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c r="O608" t="str">
        <f t="shared" si="45"/>
        <v>Mar</v>
      </c>
      <c r="P608" t="str">
        <f t="shared" si="46"/>
        <v>Thursday</v>
      </c>
      <c r="Q608">
        <f t="shared" si="47"/>
        <v>131916.08039999998</v>
      </c>
      <c r="R608">
        <f t="shared" si="48"/>
        <v>8296.4699999996283</v>
      </c>
      <c r="S608">
        <f t="shared" si="49"/>
        <v>6305.3171999997176</v>
      </c>
    </row>
    <row r="609" spans="1:19" x14ac:dyDescent="0.3">
      <c r="A609">
        <v>1089</v>
      </c>
      <c r="B609" s="1">
        <v>45124</v>
      </c>
      <c r="C609" t="s">
        <v>33</v>
      </c>
      <c r="D609" t="s">
        <v>15</v>
      </c>
      <c r="E609">
        <v>3438.35</v>
      </c>
      <c r="F609">
        <v>31</v>
      </c>
      <c r="G609" t="s">
        <v>29</v>
      </c>
      <c r="H609">
        <v>845.14</v>
      </c>
      <c r="I609">
        <v>1001.77</v>
      </c>
      <c r="J609" t="s">
        <v>30</v>
      </c>
      <c r="K609">
        <v>0.03</v>
      </c>
      <c r="L609" t="s">
        <v>18</v>
      </c>
      <c r="M609" t="s">
        <v>19</v>
      </c>
      <c r="N609" t="s">
        <v>53</v>
      </c>
      <c r="O609" t="str">
        <f t="shared" si="45"/>
        <v>Jul</v>
      </c>
      <c r="P609" t="str">
        <f t="shared" si="46"/>
        <v>Monday</v>
      </c>
      <c r="Q609">
        <f t="shared" si="47"/>
        <v>25413.359799999998</v>
      </c>
      <c r="R609">
        <f t="shared" si="48"/>
        <v>4855.53</v>
      </c>
      <c r="S609">
        <f t="shared" si="49"/>
        <v>4709.8640999999998</v>
      </c>
    </row>
    <row r="610" spans="1:19" x14ac:dyDescent="0.3">
      <c r="A610">
        <v>1099</v>
      </c>
      <c r="B610" s="1">
        <v>45221</v>
      </c>
      <c r="C610" t="s">
        <v>14</v>
      </c>
      <c r="D610" t="s">
        <v>21</v>
      </c>
      <c r="E610">
        <v>1514.14</v>
      </c>
      <c r="F610">
        <v>43</v>
      </c>
      <c r="G610" t="s">
        <v>29</v>
      </c>
      <c r="H610">
        <v>906.47</v>
      </c>
      <c r="I610">
        <v>1283.04</v>
      </c>
      <c r="J610" t="s">
        <v>30</v>
      </c>
      <c r="K610">
        <v>0.24</v>
      </c>
      <c r="L610" t="s">
        <v>18</v>
      </c>
      <c r="M610" t="s">
        <v>19</v>
      </c>
      <c r="N610" t="s">
        <v>23</v>
      </c>
      <c r="O610" t="str">
        <f t="shared" si="45"/>
        <v>Oct</v>
      </c>
      <c r="P610" t="str">
        <f t="shared" si="46"/>
        <v>Sunday</v>
      </c>
      <c r="Q610">
        <f t="shared" si="47"/>
        <v>29623.439599999998</v>
      </c>
      <c r="R610">
        <f t="shared" si="48"/>
        <v>16192.509999999997</v>
      </c>
      <c r="S610">
        <f t="shared" si="49"/>
        <v>12306.307599999998</v>
      </c>
    </row>
    <row r="611" spans="1:19" x14ac:dyDescent="0.3">
      <c r="A611">
        <v>1030</v>
      </c>
      <c r="B611" s="1">
        <v>45245</v>
      </c>
      <c r="C611" t="s">
        <v>38</v>
      </c>
      <c r="D611" t="s">
        <v>34</v>
      </c>
      <c r="E611">
        <v>6951.53</v>
      </c>
      <c r="F611">
        <v>24</v>
      </c>
      <c r="G611" t="s">
        <v>29</v>
      </c>
      <c r="H611">
        <v>1370.52</v>
      </c>
      <c r="I611">
        <v>1482.58</v>
      </c>
      <c r="J611" t="s">
        <v>17</v>
      </c>
      <c r="K611">
        <v>0.2</v>
      </c>
      <c r="L611" t="s">
        <v>31</v>
      </c>
      <c r="M611" t="s">
        <v>22</v>
      </c>
      <c r="N611" t="s">
        <v>48</v>
      </c>
      <c r="O611" t="str">
        <f t="shared" si="45"/>
        <v>Nov</v>
      </c>
      <c r="P611" t="str">
        <f t="shared" si="46"/>
        <v>Wednesday</v>
      </c>
      <c r="Q611">
        <f t="shared" si="47"/>
        <v>26313.983999999997</v>
      </c>
      <c r="R611">
        <f t="shared" si="48"/>
        <v>2689.4399999999987</v>
      </c>
      <c r="S611">
        <f t="shared" si="49"/>
        <v>2151.5519999999992</v>
      </c>
    </row>
    <row r="612" spans="1:19" x14ac:dyDescent="0.3">
      <c r="A612">
        <v>1017</v>
      </c>
      <c r="B612" s="1">
        <v>45228</v>
      </c>
      <c r="C612" t="s">
        <v>38</v>
      </c>
      <c r="D612" t="s">
        <v>34</v>
      </c>
      <c r="E612">
        <v>2141.9</v>
      </c>
      <c r="F612">
        <v>1</v>
      </c>
      <c r="G612" t="s">
        <v>16</v>
      </c>
      <c r="H612">
        <v>641.67999999999995</v>
      </c>
      <c r="I612">
        <v>752.24</v>
      </c>
      <c r="J612" t="s">
        <v>30</v>
      </c>
      <c r="K612">
        <v>0.22</v>
      </c>
      <c r="L612" t="s">
        <v>27</v>
      </c>
      <c r="M612" t="s">
        <v>19</v>
      </c>
      <c r="N612" t="s">
        <v>48</v>
      </c>
      <c r="O612" t="str">
        <f t="shared" si="45"/>
        <v>Oct</v>
      </c>
      <c r="P612" t="str">
        <f t="shared" si="46"/>
        <v>Sunday</v>
      </c>
      <c r="Q612">
        <f t="shared" si="47"/>
        <v>500.5104</v>
      </c>
      <c r="R612">
        <f t="shared" si="48"/>
        <v>110.56000000000006</v>
      </c>
      <c r="S612">
        <f t="shared" si="49"/>
        <v>86.236800000000045</v>
      </c>
    </row>
    <row r="613" spans="1:19"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c r="O613" t="str">
        <f t="shared" si="45"/>
        <v>Dec</v>
      </c>
      <c r="P613" t="str">
        <f t="shared" si="46"/>
        <v>Sunday</v>
      </c>
      <c r="Q613">
        <f t="shared" si="47"/>
        <v>11389.0656</v>
      </c>
      <c r="R613">
        <f t="shared" si="48"/>
        <v>1131.4599999998914</v>
      </c>
      <c r="S613">
        <f t="shared" si="49"/>
        <v>984.37019999990548</v>
      </c>
    </row>
    <row r="614" spans="1:19" x14ac:dyDescent="0.3">
      <c r="A614">
        <v>1084</v>
      </c>
      <c r="B614" s="1">
        <v>44937</v>
      </c>
      <c r="C614" t="s">
        <v>14</v>
      </c>
      <c r="D614" t="s">
        <v>34</v>
      </c>
      <c r="E614">
        <v>8967.18</v>
      </c>
      <c r="F614">
        <v>21</v>
      </c>
      <c r="G614" t="s">
        <v>29</v>
      </c>
      <c r="H614">
        <v>576.74</v>
      </c>
      <c r="I614">
        <v>648.29</v>
      </c>
      <c r="J614" t="s">
        <v>17</v>
      </c>
      <c r="K614">
        <v>0.2</v>
      </c>
      <c r="L614" t="s">
        <v>27</v>
      </c>
      <c r="M614" t="s">
        <v>19</v>
      </c>
      <c r="N614" t="s">
        <v>46</v>
      </c>
      <c r="O614" t="str">
        <f t="shared" si="45"/>
        <v>Jan</v>
      </c>
      <c r="P614" t="str">
        <f t="shared" si="46"/>
        <v>Wednesday</v>
      </c>
      <c r="Q614">
        <f t="shared" si="47"/>
        <v>9689.2320000000018</v>
      </c>
      <c r="R614">
        <f t="shared" si="48"/>
        <v>1502.549999999999</v>
      </c>
      <c r="S614">
        <f t="shared" si="49"/>
        <v>1202.0399999999993</v>
      </c>
    </row>
    <row r="615" spans="1:19"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c r="O615" t="str">
        <f t="shared" si="45"/>
        <v>Mar</v>
      </c>
      <c r="P615" t="str">
        <f t="shared" si="46"/>
        <v>Friday</v>
      </c>
      <c r="Q615">
        <f t="shared" si="47"/>
        <v>13505.957600000002</v>
      </c>
      <c r="R615">
        <f t="shared" si="48"/>
        <v>649.56000000000131</v>
      </c>
      <c r="S615">
        <f t="shared" si="49"/>
        <v>532.6392000000011</v>
      </c>
    </row>
    <row r="616" spans="1:19" x14ac:dyDescent="0.3">
      <c r="A616">
        <v>1086</v>
      </c>
      <c r="B616" s="1">
        <v>45259</v>
      </c>
      <c r="C616" t="s">
        <v>14</v>
      </c>
      <c r="D616" t="s">
        <v>21</v>
      </c>
      <c r="E616">
        <v>5127.2700000000004</v>
      </c>
      <c r="F616">
        <v>7</v>
      </c>
      <c r="G616" t="s">
        <v>26</v>
      </c>
      <c r="H616">
        <v>737.9</v>
      </c>
      <c r="I616">
        <v>1182</v>
      </c>
      <c r="J616" t="s">
        <v>30</v>
      </c>
      <c r="K616">
        <v>0.23</v>
      </c>
      <c r="L616" t="s">
        <v>31</v>
      </c>
      <c r="M616" t="s">
        <v>22</v>
      </c>
      <c r="N616" t="s">
        <v>23</v>
      </c>
      <c r="O616" t="str">
        <f t="shared" si="45"/>
        <v>Nov</v>
      </c>
      <c r="P616" t="str">
        <f t="shared" si="46"/>
        <v>Wednesday</v>
      </c>
      <c r="Q616">
        <f t="shared" si="47"/>
        <v>3977.2810000000004</v>
      </c>
      <c r="R616">
        <f t="shared" si="48"/>
        <v>3108.7000000000003</v>
      </c>
      <c r="S616">
        <f t="shared" si="49"/>
        <v>2393.6990000000001</v>
      </c>
    </row>
    <row r="617" spans="1:19" x14ac:dyDescent="0.3">
      <c r="A617">
        <v>1013</v>
      </c>
      <c r="B617" s="1">
        <v>45152</v>
      </c>
      <c r="C617" t="s">
        <v>42</v>
      </c>
      <c r="D617" t="s">
        <v>34</v>
      </c>
      <c r="E617">
        <v>4250.79</v>
      </c>
      <c r="F617">
        <v>26</v>
      </c>
      <c r="G617" t="s">
        <v>29</v>
      </c>
      <c r="H617">
        <v>3749.12</v>
      </c>
      <c r="I617">
        <v>4138.83</v>
      </c>
      <c r="J617" t="s">
        <v>30</v>
      </c>
      <c r="K617">
        <v>0.13</v>
      </c>
      <c r="L617" t="s">
        <v>31</v>
      </c>
      <c r="M617" t="s">
        <v>19</v>
      </c>
      <c r="N617" t="s">
        <v>52</v>
      </c>
      <c r="O617" t="str">
        <f t="shared" si="45"/>
        <v>Aug</v>
      </c>
      <c r="P617" t="str">
        <f t="shared" si="46"/>
        <v>Monday</v>
      </c>
      <c r="Q617">
        <f t="shared" si="47"/>
        <v>84805.094400000002</v>
      </c>
      <c r="R617">
        <f t="shared" si="48"/>
        <v>10132.460000000001</v>
      </c>
      <c r="S617">
        <f t="shared" si="49"/>
        <v>8815.2402000000002</v>
      </c>
    </row>
    <row r="618" spans="1:19"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c r="O618" t="str">
        <f t="shared" si="45"/>
        <v>Jun</v>
      </c>
      <c r="P618" t="str">
        <f t="shared" si="46"/>
        <v>Friday</v>
      </c>
      <c r="Q618">
        <f t="shared" si="47"/>
        <v>11607.411400000001</v>
      </c>
      <c r="R618">
        <f t="shared" si="48"/>
        <v>17402.690000000002</v>
      </c>
      <c r="S618">
        <f t="shared" si="49"/>
        <v>14966.313400000001</v>
      </c>
    </row>
    <row r="619" spans="1:19" x14ac:dyDescent="0.3">
      <c r="A619">
        <v>1019</v>
      </c>
      <c r="B619" s="1">
        <v>45125</v>
      </c>
      <c r="C619" t="s">
        <v>42</v>
      </c>
      <c r="D619" t="s">
        <v>15</v>
      </c>
      <c r="E619">
        <v>7948.31</v>
      </c>
      <c r="F619">
        <v>12</v>
      </c>
      <c r="G619" t="s">
        <v>29</v>
      </c>
      <c r="H619">
        <v>4745.18</v>
      </c>
      <c r="I619">
        <v>5145.88</v>
      </c>
      <c r="J619" t="s">
        <v>17</v>
      </c>
      <c r="K619">
        <v>0.19</v>
      </c>
      <c r="L619" t="s">
        <v>31</v>
      </c>
      <c r="M619" t="s">
        <v>19</v>
      </c>
      <c r="N619" t="s">
        <v>49</v>
      </c>
      <c r="O619" t="str">
        <f t="shared" si="45"/>
        <v>Jul</v>
      </c>
      <c r="P619" t="str">
        <f t="shared" si="46"/>
        <v>Tuesday</v>
      </c>
      <c r="Q619">
        <f t="shared" si="47"/>
        <v>46123.149600000004</v>
      </c>
      <c r="R619">
        <f t="shared" si="48"/>
        <v>4808.3999999999978</v>
      </c>
      <c r="S619">
        <f t="shared" si="49"/>
        <v>3894.8039999999983</v>
      </c>
    </row>
    <row r="620" spans="1:19" x14ac:dyDescent="0.3">
      <c r="A620">
        <v>1049</v>
      </c>
      <c r="B620" s="1">
        <v>44978</v>
      </c>
      <c r="C620" t="s">
        <v>42</v>
      </c>
      <c r="D620" t="s">
        <v>34</v>
      </c>
      <c r="E620">
        <v>783.55</v>
      </c>
      <c r="F620">
        <v>31</v>
      </c>
      <c r="G620" t="s">
        <v>35</v>
      </c>
      <c r="H620">
        <v>3570.24</v>
      </c>
      <c r="I620">
        <v>3712.25</v>
      </c>
      <c r="J620" t="s">
        <v>30</v>
      </c>
      <c r="K620">
        <v>0.03</v>
      </c>
      <c r="L620" t="s">
        <v>31</v>
      </c>
      <c r="M620" t="s">
        <v>19</v>
      </c>
      <c r="N620" t="s">
        <v>52</v>
      </c>
      <c r="O620" t="str">
        <f t="shared" si="45"/>
        <v>Feb</v>
      </c>
      <c r="P620" t="str">
        <f t="shared" si="46"/>
        <v>Tuesday</v>
      </c>
      <c r="Q620">
        <f t="shared" si="47"/>
        <v>107357.11679999999</v>
      </c>
      <c r="R620">
        <f t="shared" si="48"/>
        <v>4402.3100000000068</v>
      </c>
      <c r="S620">
        <f t="shared" si="49"/>
        <v>4270.2407000000067</v>
      </c>
    </row>
    <row r="621" spans="1:19" x14ac:dyDescent="0.3">
      <c r="A621">
        <v>1100</v>
      </c>
      <c r="B621" s="1">
        <v>45186</v>
      </c>
      <c r="C621" t="s">
        <v>33</v>
      </c>
      <c r="D621" t="s">
        <v>15</v>
      </c>
      <c r="E621">
        <v>4795.12</v>
      </c>
      <c r="F621">
        <v>17</v>
      </c>
      <c r="G621" t="s">
        <v>35</v>
      </c>
      <c r="H621">
        <v>83.64</v>
      </c>
      <c r="I621">
        <v>528.49</v>
      </c>
      <c r="J621" t="s">
        <v>30</v>
      </c>
      <c r="K621">
        <v>0.13</v>
      </c>
      <c r="L621" t="s">
        <v>31</v>
      </c>
      <c r="M621" t="s">
        <v>19</v>
      </c>
      <c r="N621" t="s">
        <v>53</v>
      </c>
      <c r="O621" t="str">
        <f t="shared" si="45"/>
        <v>Sep</v>
      </c>
      <c r="P621" t="str">
        <f t="shared" si="46"/>
        <v>Sunday</v>
      </c>
      <c r="Q621">
        <f t="shared" si="47"/>
        <v>1237.0356000000002</v>
      </c>
      <c r="R621">
        <f t="shared" si="48"/>
        <v>7562.4500000000007</v>
      </c>
      <c r="S621">
        <f t="shared" si="49"/>
        <v>6579.3315000000002</v>
      </c>
    </row>
    <row r="622" spans="1:19"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c r="O622" t="str">
        <f t="shared" si="45"/>
        <v>Feb</v>
      </c>
      <c r="P622" t="str">
        <f t="shared" si="46"/>
        <v>Tuesday</v>
      </c>
      <c r="Q622">
        <f t="shared" si="47"/>
        <v>89762.438699999999</v>
      </c>
      <c r="R622">
        <f t="shared" si="48"/>
        <v>2550.2399999999916</v>
      </c>
      <c r="S622">
        <f t="shared" si="49"/>
        <v>1810.6703999999938</v>
      </c>
    </row>
    <row r="623" spans="1:19" x14ac:dyDescent="0.3">
      <c r="A623">
        <v>1061</v>
      </c>
      <c r="B623" s="1">
        <v>44998</v>
      </c>
      <c r="C623" t="s">
        <v>14</v>
      </c>
      <c r="D623" t="s">
        <v>25</v>
      </c>
      <c r="E623">
        <v>6321.42</v>
      </c>
      <c r="F623">
        <v>11</v>
      </c>
      <c r="G623" t="s">
        <v>29</v>
      </c>
      <c r="H623">
        <v>2594.71</v>
      </c>
      <c r="I623">
        <v>2769.52</v>
      </c>
      <c r="J623" t="s">
        <v>17</v>
      </c>
      <c r="K623">
        <v>0.01</v>
      </c>
      <c r="L623" t="s">
        <v>27</v>
      </c>
      <c r="M623" t="s">
        <v>22</v>
      </c>
      <c r="N623" t="s">
        <v>32</v>
      </c>
      <c r="O623" t="str">
        <f t="shared" si="45"/>
        <v>Mar</v>
      </c>
      <c r="P623" t="str">
        <f t="shared" si="46"/>
        <v>Monday</v>
      </c>
      <c r="Q623">
        <f t="shared" si="47"/>
        <v>28256.391900000002</v>
      </c>
      <c r="R623">
        <f t="shared" si="48"/>
        <v>1922.9099999999994</v>
      </c>
      <c r="S623">
        <f t="shared" si="49"/>
        <v>1903.6808999999994</v>
      </c>
    </row>
    <row r="624" spans="1:19" x14ac:dyDescent="0.3">
      <c r="A624">
        <v>1019</v>
      </c>
      <c r="B624" s="1">
        <v>45074</v>
      </c>
      <c r="C624" t="s">
        <v>42</v>
      </c>
      <c r="D624" t="s">
        <v>34</v>
      </c>
      <c r="E624">
        <v>6917.45</v>
      </c>
      <c r="F624">
        <v>28</v>
      </c>
      <c r="G624" t="s">
        <v>16</v>
      </c>
      <c r="H624">
        <v>3907.86</v>
      </c>
      <c r="I624">
        <v>4205.37</v>
      </c>
      <c r="J624" t="s">
        <v>30</v>
      </c>
      <c r="K624">
        <v>0.09</v>
      </c>
      <c r="L624" t="s">
        <v>31</v>
      </c>
      <c r="M624" t="s">
        <v>19</v>
      </c>
      <c r="N624" t="s">
        <v>52</v>
      </c>
      <c r="O624" t="str">
        <f t="shared" si="45"/>
        <v>May</v>
      </c>
      <c r="P624" t="str">
        <f t="shared" si="46"/>
        <v>Sunday</v>
      </c>
      <c r="Q624">
        <f t="shared" si="47"/>
        <v>99572.272800000006</v>
      </c>
      <c r="R624">
        <f t="shared" si="48"/>
        <v>8330.2799999999934</v>
      </c>
      <c r="S624">
        <f t="shared" si="49"/>
        <v>7580.5547999999944</v>
      </c>
    </row>
    <row r="625" spans="1:19" x14ac:dyDescent="0.3">
      <c r="A625">
        <v>1076</v>
      </c>
      <c r="B625" s="1">
        <v>45275</v>
      </c>
      <c r="C625" t="s">
        <v>14</v>
      </c>
      <c r="D625" t="s">
        <v>21</v>
      </c>
      <c r="E625">
        <v>2607.4</v>
      </c>
      <c r="F625">
        <v>32</v>
      </c>
      <c r="G625" t="s">
        <v>26</v>
      </c>
      <c r="H625">
        <v>2636.36</v>
      </c>
      <c r="I625">
        <v>2696.78</v>
      </c>
      <c r="J625" t="s">
        <v>30</v>
      </c>
      <c r="K625">
        <v>0.09</v>
      </c>
      <c r="L625" t="s">
        <v>18</v>
      </c>
      <c r="M625" t="s">
        <v>22</v>
      </c>
      <c r="N625" t="s">
        <v>23</v>
      </c>
      <c r="O625" t="str">
        <f t="shared" si="45"/>
        <v>Dec</v>
      </c>
      <c r="P625" t="str">
        <f t="shared" si="46"/>
        <v>Friday</v>
      </c>
      <c r="Q625">
        <f t="shared" si="47"/>
        <v>76770.803200000009</v>
      </c>
      <c r="R625">
        <f t="shared" si="48"/>
        <v>1933.4400000000023</v>
      </c>
      <c r="S625">
        <f t="shared" si="49"/>
        <v>1759.4304000000022</v>
      </c>
    </row>
    <row r="626" spans="1:19" x14ac:dyDescent="0.3">
      <c r="A626">
        <v>1009</v>
      </c>
      <c r="B626" s="1">
        <v>44989</v>
      </c>
      <c r="C626" t="s">
        <v>24</v>
      </c>
      <c r="D626" t="s">
        <v>34</v>
      </c>
      <c r="E626">
        <v>198.79</v>
      </c>
      <c r="F626">
        <v>1</v>
      </c>
      <c r="G626" t="s">
        <v>29</v>
      </c>
      <c r="H626">
        <v>3223.07</v>
      </c>
      <c r="I626">
        <v>3590.83</v>
      </c>
      <c r="J626" t="s">
        <v>30</v>
      </c>
      <c r="K626">
        <v>0.19</v>
      </c>
      <c r="L626" t="s">
        <v>27</v>
      </c>
      <c r="M626" t="s">
        <v>22</v>
      </c>
      <c r="N626" t="s">
        <v>50</v>
      </c>
      <c r="O626" t="str">
        <f t="shared" si="45"/>
        <v>Mar</v>
      </c>
      <c r="P626" t="str">
        <f t="shared" si="46"/>
        <v>Saturday</v>
      </c>
      <c r="Q626">
        <f t="shared" si="47"/>
        <v>2610.6867000000002</v>
      </c>
      <c r="R626">
        <f t="shared" si="48"/>
        <v>367.75999999999976</v>
      </c>
      <c r="S626">
        <f t="shared" si="49"/>
        <v>297.88559999999984</v>
      </c>
    </row>
    <row r="627" spans="1:19" x14ac:dyDescent="0.3">
      <c r="A627">
        <v>1071</v>
      </c>
      <c r="B627" s="1">
        <v>45236</v>
      </c>
      <c r="C627" t="s">
        <v>24</v>
      </c>
      <c r="D627" t="s">
        <v>15</v>
      </c>
      <c r="E627">
        <v>7262.09</v>
      </c>
      <c r="F627">
        <v>47</v>
      </c>
      <c r="G627" t="s">
        <v>26</v>
      </c>
      <c r="H627">
        <v>3942.34</v>
      </c>
      <c r="I627">
        <v>4142.09</v>
      </c>
      <c r="J627" t="s">
        <v>17</v>
      </c>
      <c r="K627">
        <v>0.03</v>
      </c>
      <c r="L627" t="s">
        <v>31</v>
      </c>
      <c r="M627" t="s">
        <v>22</v>
      </c>
      <c r="N627" t="s">
        <v>45</v>
      </c>
      <c r="O627" t="str">
        <f t="shared" si="45"/>
        <v>Nov</v>
      </c>
      <c r="P627" t="str">
        <f t="shared" si="46"/>
        <v>Monday</v>
      </c>
      <c r="Q627">
        <f t="shared" si="47"/>
        <v>179731.2806</v>
      </c>
      <c r="R627">
        <f t="shared" si="48"/>
        <v>9388.25</v>
      </c>
      <c r="S627">
        <f t="shared" si="49"/>
        <v>9106.6024999999991</v>
      </c>
    </row>
    <row r="628" spans="1:19" x14ac:dyDescent="0.3">
      <c r="A628">
        <v>1028</v>
      </c>
      <c r="B628" s="1">
        <v>45169</v>
      </c>
      <c r="C628" t="s">
        <v>38</v>
      </c>
      <c r="D628" t="s">
        <v>15</v>
      </c>
      <c r="E628">
        <v>5403</v>
      </c>
      <c r="F628">
        <v>28</v>
      </c>
      <c r="G628" t="s">
        <v>16</v>
      </c>
      <c r="H628">
        <v>2055.2800000000002</v>
      </c>
      <c r="I628">
        <v>2449.64</v>
      </c>
      <c r="J628" t="s">
        <v>30</v>
      </c>
      <c r="K628">
        <v>0.19</v>
      </c>
      <c r="L628" t="s">
        <v>31</v>
      </c>
      <c r="M628" t="s">
        <v>19</v>
      </c>
      <c r="N628" t="s">
        <v>40</v>
      </c>
      <c r="O628" t="str">
        <f t="shared" si="45"/>
        <v>Aug</v>
      </c>
      <c r="P628" t="str">
        <f t="shared" si="46"/>
        <v>Thursday</v>
      </c>
      <c r="Q628">
        <f t="shared" si="47"/>
        <v>46613.750400000004</v>
      </c>
      <c r="R628">
        <f t="shared" si="48"/>
        <v>11042.079999999991</v>
      </c>
      <c r="S628">
        <f t="shared" si="49"/>
        <v>8944.0847999999933</v>
      </c>
    </row>
    <row r="629" spans="1:19" x14ac:dyDescent="0.3">
      <c r="A629">
        <v>1078</v>
      </c>
      <c r="B629" s="1">
        <v>45292</v>
      </c>
      <c r="C629" t="s">
        <v>24</v>
      </c>
      <c r="D629" t="s">
        <v>34</v>
      </c>
      <c r="E629">
        <v>8377.57</v>
      </c>
      <c r="F629">
        <v>42</v>
      </c>
      <c r="G629" t="s">
        <v>26</v>
      </c>
      <c r="H629">
        <v>63.41</v>
      </c>
      <c r="I629">
        <v>314.93</v>
      </c>
      <c r="J629" t="s">
        <v>17</v>
      </c>
      <c r="K629">
        <v>0.03</v>
      </c>
      <c r="L629" t="s">
        <v>18</v>
      </c>
      <c r="M629" t="s">
        <v>22</v>
      </c>
      <c r="N629" t="s">
        <v>50</v>
      </c>
      <c r="O629" t="str">
        <f t="shared" si="45"/>
        <v>Jan</v>
      </c>
      <c r="P629" t="str">
        <f t="shared" si="46"/>
        <v>Monday</v>
      </c>
      <c r="Q629">
        <f t="shared" si="47"/>
        <v>2583.3233999999998</v>
      </c>
      <c r="R629">
        <f t="shared" si="48"/>
        <v>10563.84</v>
      </c>
      <c r="S629">
        <f t="shared" si="49"/>
        <v>10246.924800000001</v>
      </c>
    </row>
    <row r="630" spans="1:19" x14ac:dyDescent="0.3">
      <c r="A630">
        <v>1095</v>
      </c>
      <c r="B630" s="1">
        <v>45256</v>
      </c>
      <c r="C630" t="s">
        <v>33</v>
      </c>
      <c r="D630" t="s">
        <v>21</v>
      </c>
      <c r="E630">
        <v>8231.74</v>
      </c>
      <c r="F630">
        <v>7</v>
      </c>
      <c r="G630" t="s">
        <v>26</v>
      </c>
      <c r="H630">
        <v>4257.24</v>
      </c>
      <c r="I630">
        <v>4355.87</v>
      </c>
      <c r="J630" t="s">
        <v>17</v>
      </c>
      <c r="K630">
        <v>0.03</v>
      </c>
      <c r="L630" t="s">
        <v>27</v>
      </c>
      <c r="M630" t="s">
        <v>19</v>
      </c>
      <c r="N630" t="s">
        <v>37</v>
      </c>
      <c r="O630" t="str">
        <f t="shared" si="45"/>
        <v>Nov</v>
      </c>
      <c r="P630" t="str">
        <f t="shared" si="46"/>
        <v>Sunday</v>
      </c>
      <c r="Q630">
        <f t="shared" si="47"/>
        <v>28906.659599999999</v>
      </c>
      <c r="R630">
        <f t="shared" si="48"/>
        <v>690.41000000000076</v>
      </c>
      <c r="S630">
        <f t="shared" si="49"/>
        <v>669.69770000000074</v>
      </c>
    </row>
    <row r="631" spans="1:19" x14ac:dyDescent="0.3">
      <c r="A631">
        <v>1052</v>
      </c>
      <c r="B631" s="1">
        <v>45033</v>
      </c>
      <c r="C631" t="s">
        <v>42</v>
      </c>
      <c r="D631" t="s">
        <v>25</v>
      </c>
      <c r="E631">
        <v>8448.93</v>
      </c>
      <c r="F631">
        <v>2</v>
      </c>
      <c r="G631" t="s">
        <v>26</v>
      </c>
      <c r="H631">
        <v>1935.41</v>
      </c>
      <c r="I631">
        <v>2305.44</v>
      </c>
      <c r="J631" t="s">
        <v>17</v>
      </c>
      <c r="K631">
        <v>0.22</v>
      </c>
      <c r="L631" t="s">
        <v>31</v>
      </c>
      <c r="M631" t="s">
        <v>19</v>
      </c>
      <c r="N631" t="s">
        <v>43</v>
      </c>
      <c r="O631" t="str">
        <f t="shared" si="45"/>
        <v>Apr</v>
      </c>
      <c r="P631" t="str">
        <f t="shared" si="46"/>
        <v>Monday</v>
      </c>
      <c r="Q631">
        <f t="shared" si="47"/>
        <v>3019.2396000000003</v>
      </c>
      <c r="R631">
        <f t="shared" si="48"/>
        <v>740.06</v>
      </c>
      <c r="S631">
        <f t="shared" si="49"/>
        <v>577.24680000000001</v>
      </c>
    </row>
    <row r="632" spans="1:19"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c r="O632" t="str">
        <f t="shared" si="45"/>
        <v>Aug</v>
      </c>
      <c r="P632" t="str">
        <f t="shared" si="46"/>
        <v>Monday</v>
      </c>
      <c r="Q632">
        <f t="shared" si="47"/>
        <v>94704.498000000007</v>
      </c>
      <c r="R632">
        <f t="shared" si="48"/>
        <v>5609.1000000000076</v>
      </c>
      <c r="S632">
        <f t="shared" si="49"/>
        <v>5048.1900000000069</v>
      </c>
    </row>
    <row r="633" spans="1:19"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c r="O633" t="str">
        <f t="shared" si="45"/>
        <v>Nov</v>
      </c>
      <c r="P633" t="str">
        <f t="shared" si="46"/>
        <v>Thursday</v>
      </c>
      <c r="Q633">
        <f t="shared" si="47"/>
        <v>1507.0175999999999</v>
      </c>
      <c r="R633">
        <f t="shared" si="48"/>
        <v>6012</v>
      </c>
      <c r="S633">
        <f t="shared" si="49"/>
        <v>4268.5199999999995</v>
      </c>
    </row>
    <row r="634" spans="1:19" x14ac:dyDescent="0.3">
      <c r="A634">
        <v>1069</v>
      </c>
      <c r="B634" s="1">
        <v>45144</v>
      </c>
      <c r="C634" t="s">
        <v>14</v>
      </c>
      <c r="D634" t="s">
        <v>15</v>
      </c>
      <c r="E634">
        <v>7936.43</v>
      </c>
      <c r="F634">
        <v>4</v>
      </c>
      <c r="G634" t="s">
        <v>35</v>
      </c>
      <c r="H634">
        <v>2485.86</v>
      </c>
      <c r="I634">
        <v>2532.87</v>
      </c>
      <c r="J634" t="s">
        <v>30</v>
      </c>
      <c r="K634">
        <v>0.01</v>
      </c>
      <c r="L634" t="s">
        <v>31</v>
      </c>
      <c r="M634" t="s">
        <v>19</v>
      </c>
      <c r="N634" t="s">
        <v>20</v>
      </c>
      <c r="O634" t="str">
        <f t="shared" si="45"/>
        <v>Aug</v>
      </c>
      <c r="P634" t="str">
        <f t="shared" si="46"/>
        <v>Sunday</v>
      </c>
      <c r="Q634">
        <f t="shared" si="47"/>
        <v>9844.0056000000004</v>
      </c>
      <c r="R634">
        <f t="shared" si="48"/>
        <v>188.03999999999905</v>
      </c>
      <c r="S634">
        <f t="shared" si="49"/>
        <v>186.15959999999907</v>
      </c>
    </row>
    <row r="635" spans="1:19"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c r="O635" t="str">
        <f t="shared" si="45"/>
        <v>Aug</v>
      </c>
      <c r="P635" t="str">
        <f t="shared" si="46"/>
        <v>Tuesday</v>
      </c>
      <c r="Q635">
        <f t="shared" si="47"/>
        <v>188839.45079999999</v>
      </c>
      <c r="R635">
        <f t="shared" si="48"/>
        <v>13761</v>
      </c>
      <c r="S635">
        <f t="shared" si="49"/>
        <v>11972.07</v>
      </c>
    </row>
    <row r="636" spans="1:19" x14ac:dyDescent="0.3">
      <c r="A636">
        <v>1012</v>
      </c>
      <c r="B636" s="1">
        <v>45185</v>
      </c>
      <c r="C636" t="s">
        <v>24</v>
      </c>
      <c r="D636" t="s">
        <v>25</v>
      </c>
      <c r="E636">
        <v>1916.08</v>
      </c>
      <c r="F636">
        <v>19</v>
      </c>
      <c r="G636" t="s">
        <v>35</v>
      </c>
      <c r="H636">
        <v>1427.42</v>
      </c>
      <c r="I636">
        <v>1763.69</v>
      </c>
      <c r="J636" t="s">
        <v>30</v>
      </c>
      <c r="K636">
        <v>0.03</v>
      </c>
      <c r="L636" t="s">
        <v>18</v>
      </c>
      <c r="M636" t="s">
        <v>22</v>
      </c>
      <c r="N636" t="s">
        <v>28</v>
      </c>
      <c r="O636" t="str">
        <f t="shared" si="45"/>
        <v>Sep</v>
      </c>
      <c r="P636" t="str">
        <f t="shared" si="46"/>
        <v>Saturday</v>
      </c>
      <c r="Q636">
        <f t="shared" si="47"/>
        <v>26307.350600000002</v>
      </c>
      <c r="R636">
        <f t="shared" si="48"/>
        <v>6389.1299999999992</v>
      </c>
      <c r="S636">
        <f t="shared" si="49"/>
        <v>6197.4560999999994</v>
      </c>
    </row>
    <row r="637" spans="1:19" x14ac:dyDescent="0.3">
      <c r="A637">
        <v>1025</v>
      </c>
      <c r="B637" s="1">
        <v>45188</v>
      </c>
      <c r="C637" t="s">
        <v>42</v>
      </c>
      <c r="D637" t="s">
        <v>34</v>
      </c>
      <c r="E637">
        <v>8564.24</v>
      </c>
      <c r="F637">
        <v>26</v>
      </c>
      <c r="G637" t="s">
        <v>35</v>
      </c>
      <c r="H637">
        <v>2007.32</v>
      </c>
      <c r="I637">
        <v>2202.87</v>
      </c>
      <c r="J637" t="s">
        <v>17</v>
      </c>
      <c r="K637">
        <v>0.11</v>
      </c>
      <c r="L637" t="s">
        <v>18</v>
      </c>
      <c r="M637" t="s">
        <v>19</v>
      </c>
      <c r="N637" t="s">
        <v>52</v>
      </c>
      <c r="O637" t="str">
        <f t="shared" si="45"/>
        <v>Sep</v>
      </c>
      <c r="P637" t="str">
        <f t="shared" si="46"/>
        <v>Tuesday</v>
      </c>
      <c r="Q637">
        <f t="shared" si="47"/>
        <v>46449.3848</v>
      </c>
      <c r="R637">
        <f t="shared" si="48"/>
        <v>5084.2999999999993</v>
      </c>
      <c r="S637">
        <f t="shared" si="49"/>
        <v>4525.0269999999991</v>
      </c>
    </row>
    <row r="638" spans="1:19" x14ac:dyDescent="0.3">
      <c r="A638">
        <v>1052</v>
      </c>
      <c r="B638" s="1">
        <v>44931</v>
      </c>
      <c r="C638" t="s">
        <v>14</v>
      </c>
      <c r="D638" t="s">
        <v>15</v>
      </c>
      <c r="E638">
        <v>8837.34</v>
      </c>
      <c r="F638">
        <v>11</v>
      </c>
      <c r="G638" t="s">
        <v>29</v>
      </c>
      <c r="H638">
        <v>3451.59</v>
      </c>
      <c r="I638">
        <v>3929.26</v>
      </c>
      <c r="J638" t="s">
        <v>30</v>
      </c>
      <c r="K638">
        <v>0.3</v>
      </c>
      <c r="L638" t="s">
        <v>31</v>
      </c>
      <c r="M638" t="s">
        <v>22</v>
      </c>
      <c r="N638" t="s">
        <v>20</v>
      </c>
      <c r="O638" t="str">
        <f t="shared" si="45"/>
        <v>Jan</v>
      </c>
      <c r="P638" t="str">
        <f t="shared" si="46"/>
        <v>Thursday</v>
      </c>
      <c r="Q638">
        <f t="shared" si="47"/>
        <v>26577.243000000002</v>
      </c>
      <c r="R638">
        <f t="shared" si="48"/>
        <v>5254.3700000000008</v>
      </c>
      <c r="S638">
        <f t="shared" si="49"/>
        <v>3678.0590000000002</v>
      </c>
    </row>
    <row r="639" spans="1:19" x14ac:dyDescent="0.3">
      <c r="A639">
        <v>1085</v>
      </c>
      <c r="B639" s="1">
        <v>45187</v>
      </c>
      <c r="C639" t="s">
        <v>38</v>
      </c>
      <c r="D639" t="s">
        <v>34</v>
      </c>
      <c r="E639">
        <v>4716.47</v>
      </c>
      <c r="F639">
        <v>40</v>
      </c>
      <c r="G639" t="s">
        <v>29</v>
      </c>
      <c r="H639">
        <v>4083.23</v>
      </c>
      <c r="I639">
        <v>4521.57</v>
      </c>
      <c r="J639" t="s">
        <v>30</v>
      </c>
      <c r="K639">
        <v>0.27</v>
      </c>
      <c r="L639" t="s">
        <v>27</v>
      </c>
      <c r="M639" t="s">
        <v>22</v>
      </c>
      <c r="N639" t="s">
        <v>48</v>
      </c>
      <c r="O639" t="str">
        <f t="shared" si="45"/>
        <v>Sep</v>
      </c>
      <c r="P639" t="str">
        <f t="shared" si="46"/>
        <v>Monday</v>
      </c>
      <c r="Q639">
        <f t="shared" si="47"/>
        <v>119230.31600000001</v>
      </c>
      <c r="R639">
        <f t="shared" si="48"/>
        <v>17533.599999999988</v>
      </c>
      <c r="S639">
        <f t="shared" si="49"/>
        <v>12799.527999999991</v>
      </c>
    </row>
    <row r="640" spans="1:19" x14ac:dyDescent="0.3">
      <c r="A640">
        <v>1100</v>
      </c>
      <c r="B640" s="1">
        <v>44980</v>
      </c>
      <c r="C640" t="s">
        <v>38</v>
      </c>
      <c r="D640" t="s">
        <v>15</v>
      </c>
      <c r="E640">
        <v>849.43</v>
      </c>
      <c r="F640">
        <v>43</v>
      </c>
      <c r="G640" t="s">
        <v>16</v>
      </c>
      <c r="H640">
        <v>2116.09</v>
      </c>
      <c r="I640">
        <v>2472.98</v>
      </c>
      <c r="J640" t="s">
        <v>30</v>
      </c>
      <c r="K640">
        <v>0.01</v>
      </c>
      <c r="L640" t="s">
        <v>31</v>
      </c>
      <c r="M640" t="s">
        <v>22</v>
      </c>
      <c r="N640" t="s">
        <v>40</v>
      </c>
      <c r="O640" t="str">
        <f t="shared" si="45"/>
        <v>Feb</v>
      </c>
      <c r="P640" t="str">
        <f t="shared" si="46"/>
        <v>Thursday</v>
      </c>
      <c r="Q640">
        <f t="shared" si="47"/>
        <v>90081.951300000015</v>
      </c>
      <c r="R640">
        <f t="shared" si="48"/>
        <v>15346.269999999995</v>
      </c>
      <c r="S640">
        <f t="shared" si="49"/>
        <v>15192.807299999995</v>
      </c>
    </row>
    <row r="641" spans="1:19" x14ac:dyDescent="0.3">
      <c r="A641">
        <v>1053</v>
      </c>
      <c r="B641" s="1">
        <v>44973</v>
      </c>
      <c r="C641" t="s">
        <v>38</v>
      </c>
      <c r="D641" t="s">
        <v>21</v>
      </c>
      <c r="E641">
        <v>3939.48</v>
      </c>
      <c r="F641">
        <v>11</v>
      </c>
      <c r="G641" t="s">
        <v>16</v>
      </c>
      <c r="H641">
        <v>1582.86</v>
      </c>
      <c r="I641">
        <v>1942.55</v>
      </c>
      <c r="J641" t="s">
        <v>30</v>
      </c>
      <c r="K641">
        <v>0.17</v>
      </c>
      <c r="L641" t="s">
        <v>31</v>
      </c>
      <c r="M641" t="s">
        <v>22</v>
      </c>
      <c r="N641" t="s">
        <v>41</v>
      </c>
      <c r="O641" t="str">
        <f t="shared" si="45"/>
        <v>Feb</v>
      </c>
      <c r="P641" t="str">
        <f t="shared" si="46"/>
        <v>Thursday</v>
      </c>
      <c r="Q641">
        <f t="shared" si="47"/>
        <v>14451.511799999998</v>
      </c>
      <c r="R641">
        <f t="shared" si="48"/>
        <v>3956.5900000000006</v>
      </c>
      <c r="S641">
        <f t="shared" si="49"/>
        <v>3283.9697000000006</v>
      </c>
    </row>
    <row r="642" spans="1:19" x14ac:dyDescent="0.3">
      <c r="A642">
        <v>1023</v>
      </c>
      <c r="B642" s="1">
        <v>45141</v>
      </c>
      <c r="C642" t="s">
        <v>24</v>
      </c>
      <c r="D642" t="s">
        <v>21</v>
      </c>
      <c r="E642">
        <v>8055.02</v>
      </c>
      <c r="F642">
        <v>45</v>
      </c>
      <c r="G642" t="s">
        <v>26</v>
      </c>
      <c r="H642">
        <v>4692.24</v>
      </c>
      <c r="I642">
        <v>4825.92</v>
      </c>
      <c r="J642" t="s">
        <v>17</v>
      </c>
      <c r="K642">
        <v>0.19</v>
      </c>
      <c r="L642" t="s">
        <v>27</v>
      </c>
      <c r="M642" t="s">
        <v>22</v>
      </c>
      <c r="N642" t="s">
        <v>47</v>
      </c>
      <c r="O642" t="str">
        <f t="shared" si="45"/>
        <v>Aug</v>
      </c>
      <c r="P642" t="str">
        <f t="shared" si="46"/>
        <v>Thursday</v>
      </c>
      <c r="Q642">
        <f t="shared" si="47"/>
        <v>171032.14800000002</v>
      </c>
      <c r="R642">
        <f t="shared" si="48"/>
        <v>6015.6000000000131</v>
      </c>
      <c r="S642">
        <f t="shared" si="49"/>
        <v>4872.6360000000113</v>
      </c>
    </row>
    <row r="643" spans="1:19" x14ac:dyDescent="0.3">
      <c r="A643">
        <v>1016</v>
      </c>
      <c r="B643" s="1">
        <v>45103</v>
      </c>
      <c r="C643" t="s">
        <v>33</v>
      </c>
      <c r="D643" t="s">
        <v>15</v>
      </c>
      <c r="E643">
        <v>9027.56</v>
      </c>
      <c r="F643">
        <v>3</v>
      </c>
      <c r="G643" t="s">
        <v>35</v>
      </c>
      <c r="H643">
        <v>3401.87</v>
      </c>
      <c r="I643">
        <v>3733.71</v>
      </c>
      <c r="J643" t="s">
        <v>17</v>
      </c>
      <c r="K643">
        <v>0.06</v>
      </c>
      <c r="L643" t="s">
        <v>27</v>
      </c>
      <c r="M643" t="s">
        <v>22</v>
      </c>
      <c r="N643" t="s">
        <v>53</v>
      </c>
      <c r="O643" t="str">
        <f t="shared" ref="O643:O706" si="50">TEXT(B643,"mmm")</f>
        <v>Jun</v>
      </c>
      <c r="P643" t="str">
        <f t="shared" ref="P643:P706" si="51">TEXT(B643,"dddd")</f>
        <v>Monday</v>
      </c>
      <c r="Q643">
        <f t="shared" ref="Q643:Q706" si="52">(F643*H643)*(1-K643)</f>
        <v>9593.2734</v>
      </c>
      <c r="R643">
        <f t="shared" ref="R643:R706" si="53">(I643-H643)*F643</f>
        <v>995.52000000000044</v>
      </c>
      <c r="S643">
        <f t="shared" ref="S643:S706" si="54">((I643-H643)*F643)*(1-K643)</f>
        <v>935.78880000000038</v>
      </c>
    </row>
    <row r="644" spans="1:19" x14ac:dyDescent="0.3">
      <c r="A644">
        <v>1057</v>
      </c>
      <c r="B644" s="1">
        <v>44935</v>
      </c>
      <c r="C644" t="s">
        <v>33</v>
      </c>
      <c r="D644" t="s">
        <v>15</v>
      </c>
      <c r="E644">
        <v>2114.38</v>
      </c>
      <c r="F644">
        <v>12</v>
      </c>
      <c r="G644" t="s">
        <v>16</v>
      </c>
      <c r="H644">
        <v>639.16</v>
      </c>
      <c r="I644">
        <v>746.28</v>
      </c>
      <c r="J644" t="s">
        <v>17</v>
      </c>
      <c r="K644">
        <v>0.04</v>
      </c>
      <c r="L644" t="s">
        <v>27</v>
      </c>
      <c r="M644" t="s">
        <v>22</v>
      </c>
      <c r="N644" t="s">
        <v>53</v>
      </c>
      <c r="O644" t="str">
        <f t="shared" si="50"/>
        <v>Jan</v>
      </c>
      <c r="P644" t="str">
        <f t="shared" si="51"/>
        <v>Monday</v>
      </c>
      <c r="Q644">
        <f t="shared" si="52"/>
        <v>7363.1232</v>
      </c>
      <c r="R644">
        <f t="shared" si="53"/>
        <v>1285.44</v>
      </c>
      <c r="S644">
        <f t="shared" si="54"/>
        <v>1234.0224000000001</v>
      </c>
    </row>
    <row r="645" spans="1:19" x14ac:dyDescent="0.3">
      <c r="A645">
        <v>1039</v>
      </c>
      <c r="B645" s="1">
        <v>45025</v>
      </c>
      <c r="C645" t="s">
        <v>42</v>
      </c>
      <c r="D645" t="s">
        <v>15</v>
      </c>
      <c r="E645">
        <v>763.04</v>
      </c>
      <c r="F645">
        <v>3</v>
      </c>
      <c r="G645" t="s">
        <v>26</v>
      </c>
      <c r="H645">
        <v>391.19</v>
      </c>
      <c r="I645">
        <v>471.75</v>
      </c>
      <c r="J645" t="s">
        <v>17</v>
      </c>
      <c r="K645">
        <v>0.27</v>
      </c>
      <c r="L645" t="s">
        <v>18</v>
      </c>
      <c r="M645" t="s">
        <v>19</v>
      </c>
      <c r="N645" t="s">
        <v>49</v>
      </c>
      <c r="O645" t="str">
        <f t="shared" si="50"/>
        <v>Apr</v>
      </c>
      <c r="P645" t="str">
        <f t="shared" si="51"/>
        <v>Sunday</v>
      </c>
      <c r="Q645">
        <f t="shared" si="52"/>
        <v>856.70609999999988</v>
      </c>
      <c r="R645">
        <f t="shared" si="53"/>
        <v>241.68</v>
      </c>
      <c r="S645">
        <f t="shared" si="54"/>
        <v>176.4264</v>
      </c>
    </row>
    <row r="646" spans="1:19"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c r="O646" t="str">
        <f t="shared" si="50"/>
        <v>Jan</v>
      </c>
      <c r="P646" t="str">
        <f t="shared" si="51"/>
        <v>Friday</v>
      </c>
      <c r="Q646">
        <f t="shared" si="52"/>
        <v>72867.257400000002</v>
      </c>
      <c r="R646">
        <f t="shared" si="53"/>
        <v>20989.079999999991</v>
      </c>
      <c r="S646">
        <f t="shared" si="54"/>
        <v>14902.246799999994</v>
      </c>
    </row>
    <row r="647" spans="1:19" x14ac:dyDescent="0.3">
      <c r="A647">
        <v>1042</v>
      </c>
      <c r="B647" s="1">
        <v>45167</v>
      </c>
      <c r="C647" t="s">
        <v>38</v>
      </c>
      <c r="D647" t="s">
        <v>25</v>
      </c>
      <c r="E647">
        <v>3955.11</v>
      </c>
      <c r="F647">
        <v>27</v>
      </c>
      <c r="G647" t="s">
        <v>29</v>
      </c>
      <c r="H647">
        <v>1139.45</v>
      </c>
      <c r="I647">
        <v>1454.41</v>
      </c>
      <c r="J647" t="s">
        <v>17</v>
      </c>
      <c r="K647">
        <v>0.3</v>
      </c>
      <c r="L647" t="s">
        <v>27</v>
      </c>
      <c r="M647" t="s">
        <v>19</v>
      </c>
      <c r="N647" t="s">
        <v>39</v>
      </c>
      <c r="O647" t="str">
        <f t="shared" si="50"/>
        <v>Aug</v>
      </c>
      <c r="P647" t="str">
        <f t="shared" si="51"/>
        <v>Tuesday</v>
      </c>
      <c r="Q647">
        <f t="shared" si="52"/>
        <v>21535.605</v>
      </c>
      <c r="R647">
        <f t="shared" si="53"/>
        <v>8503.9200000000019</v>
      </c>
      <c r="S647">
        <f t="shared" si="54"/>
        <v>5952.7440000000006</v>
      </c>
    </row>
    <row r="648" spans="1:19" x14ac:dyDescent="0.3">
      <c r="A648">
        <v>1058</v>
      </c>
      <c r="B648" s="1">
        <v>44987</v>
      </c>
      <c r="C648" t="s">
        <v>38</v>
      </c>
      <c r="D648" t="s">
        <v>34</v>
      </c>
      <c r="E648">
        <v>5463.43</v>
      </c>
      <c r="F648">
        <v>49</v>
      </c>
      <c r="G648" t="s">
        <v>16</v>
      </c>
      <c r="H648">
        <v>1307.22</v>
      </c>
      <c r="I648">
        <v>1528.4</v>
      </c>
      <c r="J648" t="s">
        <v>17</v>
      </c>
      <c r="K648">
        <v>0.24</v>
      </c>
      <c r="L648" t="s">
        <v>18</v>
      </c>
      <c r="M648" t="s">
        <v>22</v>
      </c>
      <c r="N648" t="s">
        <v>48</v>
      </c>
      <c r="O648" t="str">
        <f t="shared" si="50"/>
        <v>Mar</v>
      </c>
      <c r="P648" t="str">
        <f t="shared" si="51"/>
        <v>Thursday</v>
      </c>
      <c r="Q648">
        <f t="shared" si="52"/>
        <v>48680.872799999997</v>
      </c>
      <c r="R648">
        <f t="shared" si="53"/>
        <v>10837.820000000003</v>
      </c>
      <c r="S648">
        <f t="shared" si="54"/>
        <v>8236.7432000000026</v>
      </c>
    </row>
    <row r="649" spans="1:19" x14ac:dyDescent="0.3">
      <c r="A649">
        <v>1039</v>
      </c>
      <c r="B649" s="1">
        <v>45104</v>
      </c>
      <c r="C649" t="s">
        <v>14</v>
      </c>
      <c r="D649" t="s">
        <v>34</v>
      </c>
      <c r="E649">
        <v>9683.85</v>
      </c>
      <c r="F649">
        <v>2</v>
      </c>
      <c r="G649" t="s">
        <v>35</v>
      </c>
      <c r="H649">
        <v>4394.58</v>
      </c>
      <c r="I649">
        <v>4545.78</v>
      </c>
      <c r="J649" t="s">
        <v>17</v>
      </c>
      <c r="K649">
        <v>0.2</v>
      </c>
      <c r="L649" t="s">
        <v>31</v>
      </c>
      <c r="M649" t="s">
        <v>22</v>
      </c>
      <c r="N649" t="s">
        <v>46</v>
      </c>
      <c r="O649" t="str">
        <f t="shared" si="50"/>
        <v>Jun</v>
      </c>
      <c r="P649" t="str">
        <f t="shared" si="51"/>
        <v>Tuesday</v>
      </c>
      <c r="Q649">
        <f t="shared" si="52"/>
        <v>7031.3280000000004</v>
      </c>
      <c r="R649">
        <f t="shared" si="53"/>
        <v>302.39999999999964</v>
      </c>
      <c r="S649">
        <f t="shared" si="54"/>
        <v>241.91999999999973</v>
      </c>
    </row>
    <row r="650" spans="1:19" x14ac:dyDescent="0.3">
      <c r="A650">
        <v>1014</v>
      </c>
      <c r="B650" s="1">
        <v>45264</v>
      </c>
      <c r="C650" t="s">
        <v>14</v>
      </c>
      <c r="D650" t="s">
        <v>21</v>
      </c>
      <c r="E650">
        <v>758.99</v>
      </c>
      <c r="F650">
        <v>49</v>
      </c>
      <c r="G650" t="s">
        <v>16</v>
      </c>
      <c r="H650">
        <v>493.35</v>
      </c>
      <c r="I650">
        <v>799.27</v>
      </c>
      <c r="J650" t="s">
        <v>30</v>
      </c>
      <c r="K650">
        <v>0.1</v>
      </c>
      <c r="L650" t="s">
        <v>27</v>
      </c>
      <c r="M650" t="s">
        <v>19</v>
      </c>
      <c r="N650" t="s">
        <v>23</v>
      </c>
      <c r="O650" t="str">
        <f t="shared" si="50"/>
        <v>Dec</v>
      </c>
      <c r="P650" t="str">
        <f t="shared" si="51"/>
        <v>Monday</v>
      </c>
      <c r="Q650">
        <f t="shared" si="52"/>
        <v>21756.735000000001</v>
      </c>
      <c r="R650">
        <f t="shared" si="53"/>
        <v>14990.079999999998</v>
      </c>
      <c r="S650">
        <f t="shared" si="54"/>
        <v>13491.071999999998</v>
      </c>
    </row>
    <row r="651" spans="1:19" x14ac:dyDescent="0.3">
      <c r="A651">
        <v>1095</v>
      </c>
      <c r="B651" s="1">
        <v>44988</v>
      </c>
      <c r="C651" t="s">
        <v>38</v>
      </c>
      <c r="D651" t="s">
        <v>34</v>
      </c>
      <c r="E651">
        <v>6518.35</v>
      </c>
      <c r="F651">
        <v>16</v>
      </c>
      <c r="G651" t="s">
        <v>35</v>
      </c>
      <c r="H651">
        <v>3591.05</v>
      </c>
      <c r="I651">
        <v>3625.35</v>
      </c>
      <c r="J651" t="s">
        <v>17</v>
      </c>
      <c r="K651">
        <v>0.05</v>
      </c>
      <c r="L651" t="s">
        <v>31</v>
      </c>
      <c r="M651" t="s">
        <v>22</v>
      </c>
      <c r="N651" t="s">
        <v>48</v>
      </c>
      <c r="O651" t="str">
        <f t="shared" si="50"/>
        <v>Mar</v>
      </c>
      <c r="P651" t="str">
        <f t="shared" si="51"/>
        <v>Friday</v>
      </c>
      <c r="Q651">
        <f t="shared" si="52"/>
        <v>54583.96</v>
      </c>
      <c r="R651">
        <f t="shared" si="53"/>
        <v>548.79999999999563</v>
      </c>
      <c r="S651">
        <f t="shared" si="54"/>
        <v>521.35999999999581</v>
      </c>
    </row>
    <row r="652" spans="1:19" x14ac:dyDescent="0.3">
      <c r="A652">
        <v>1005</v>
      </c>
      <c r="B652" s="1">
        <v>45071</v>
      </c>
      <c r="C652" t="s">
        <v>38</v>
      </c>
      <c r="D652" t="s">
        <v>15</v>
      </c>
      <c r="E652">
        <v>833.64</v>
      </c>
      <c r="F652">
        <v>2</v>
      </c>
      <c r="G652" t="s">
        <v>29</v>
      </c>
      <c r="H652">
        <v>1392.15</v>
      </c>
      <c r="I652">
        <v>1448.54</v>
      </c>
      <c r="J652" t="s">
        <v>17</v>
      </c>
      <c r="K652">
        <v>0.02</v>
      </c>
      <c r="L652" t="s">
        <v>27</v>
      </c>
      <c r="M652" t="s">
        <v>22</v>
      </c>
      <c r="N652" t="s">
        <v>40</v>
      </c>
      <c r="O652" t="str">
        <f t="shared" si="50"/>
        <v>May</v>
      </c>
      <c r="P652" t="str">
        <f t="shared" si="51"/>
        <v>Thursday</v>
      </c>
      <c r="Q652">
        <f t="shared" si="52"/>
        <v>2728.614</v>
      </c>
      <c r="R652">
        <f t="shared" si="53"/>
        <v>112.77999999999975</v>
      </c>
      <c r="S652">
        <f t="shared" si="54"/>
        <v>110.52439999999974</v>
      </c>
    </row>
    <row r="653" spans="1:19" x14ac:dyDescent="0.3">
      <c r="A653">
        <v>1035</v>
      </c>
      <c r="B653" s="1">
        <v>45142</v>
      </c>
      <c r="C653" t="s">
        <v>24</v>
      </c>
      <c r="D653" t="s">
        <v>25</v>
      </c>
      <c r="E653">
        <v>3817.14</v>
      </c>
      <c r="F653">
        <v>30</v>
      </c>
      <c r="G653" t="s">
        <v>35</v>
      </c>
      <c r="H653">
        <v>3813.62</v>
      </c>
      <c r="I653">
        <v>3839.72</v>
      </c>
      <c r="J653" t="s">
        <v>30</v>
      </c>
      <c r="K653">
        <v>0.21</v>
      </c>
      <c r="L653" t="s">
        <v>31</v>
      </c>
      <c r="M653" t="s">
        <v>19</v>
      </c>
      <c r="N653" t="s">
        <v>28</v>
      </c>
      <c r="O653" t="str">
        <f t="shared" si="50"/>
        <v>Aug</v>
      </c>
      <c r="P653" t="str">
        <f t="shared" si="51"/>
        <v>Friday</v>
      </c>
      <c r="Q653">
        <f t="shared" si="52"/>
        <v>90382.793999999994</v>
      </c>
      <c r="R653">
        <f t="shared" si="53"/>
        <v>782.99999999999727</v>
      </c>
      <c r="S653">
        <f t="shared" si="54"/>
        <v>618.56999999999789</v>
      </c>
    </row>
    <row r="654" spans="1:19" x14ac:dyDescent="0.3">
      <c r="A654">
        <v>1087</v>
      </c>
      <c r="B654" s="1">
        <v>44929</v>
      </c>
      <c r="C654" t="s">
        <v>33</v>
      </c>
      <c r="D654" t="s">
        <v>34</v>
      </c>
      <c r="E654">
        <v>8057.76</v>
      </c>
      <c r="F654">
        <v>20</v>
      </c>
      <c r="G654" t="s">
        <v>16</v>
      </c>
      <c r="H654">
        <v>3625.94</v>
      </c>
      <c r="I654">
        <v>3880.53</v>
      </c>
      <c r="J654" t="s">
        <v>30</v>
      </c>
      <c r="K654">
        <v>0.24</v>
      </c>
      <c r="L654" t="s">
        <v>27</v>
      </c>
      <c r="M654" t="s">
        <v>19</v>
      </c>
      <c r="N654" t="s">
        <v>36</v>
      </c>
      <c r="O654" t="str">
        <f t="shared" si="50"/>
        <v>Jan</v>
      </c>
      <c r="P654" t="str">
        <f t="shared" si="51"/>
        <v>Tuesday</v>
      </c>
      <c r="Q654">
        <f t="shared" si="52"/>
        <v>55114.288</v>
      </c>
      <c r="R654">
        <f t="shared" si="53"/>
        <v>5091.8000000000029</v>
      </c>
      <c r="S654">
        <f t="shared" si="54"/>
        <v>3869.7680000000023</v>
      </c>
    </row>
    <row r="655" spans="1:19" x14ac:dyDescent="0.3">
      <c r="A655">
        <v>1093</v>
      </c>
      <c r="B655" s="1">
        <v>45086</v>
      </c>
      <c r="C655" t="s">
        <v>14</v>
      </c>
      <c r="D655" t="s">
        <v>25</v>
      </c>
      <c r="E655">
        <v>4391.38</v>
      </c>
      <c r="F655">
        <v>38</v>
      </c>
      <c r="G655" t="s">
        <v>26</v>
      </c>
      <c r="H655">
        <v>86.59</v>
      </c>
      <c r="I655">
        <v>390.89</v>
      </c>
      <c r="J655" t="s">
        <v>17</v>
      </c>
      <c r="K655">
        <v>0.25</v>
      </c>
      <c r="L655" t="s">
        <v>31</v>
      </c>
      <c r="M655" t="s">
        <v>19</v>
      </c>
      <c r="N655" t="s">
        <v>32</v>
      </c>
      <c r="O655" t="str">
        <f t="shared" si="50"/>
        <v>Jun</v>
      </c>
      <c r="P655" t="str">
        <f t="shared" si="51"/>
        <v>Friday</v>
      </c>
      <c r="Q655">
        <f t="shared" si="52"/>
        <v>2467.8150000000001</v>
      </c>
      <c r="R655">
        <f t="shared" si="53"/>
        <v>11563.399999999998</v>
      </c>
      <c r="S655">
        <f t="shared" si="54"/>
        <v>8672.5499999999993</v>
      </c>
    </row>
    <row r="656" spans="1:19"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c r="O656" t="str">
        <f t="shared" si="50"/>
        <v>Aug</v>
      </c>
      <c r="P656" t="str">
        <f t="shared" si="51"/>
        <v>Tuesday</v>
      </c>
      <c r="Q656">
        <f t="shared" si="52"/>
        <v>52535.296799999989</v>
      </c>
      <c r="R656">
        <f t="shared" si="53"/>
        <v>1137.3599999997296</v>
      </c>
      <c r="S656">
        <f t="shared" si="54"/>
        <v>830.2727999998026</v>
      </c>
    </row>
    <row r="657" spans="1:19" x14ac:dyDescent="0.3">
      <c r="A657">
        <v>1018</v>
      </c>
      <c r="B657" s="1">
        <v>45195</v>
      </c>
      <c r="C657" t="s">
        <v>24</v>
      </c>
      <c r="D657" t="s">
        <v>34</v>
      </c>
      <c r="E657">
        <v>5634.69</v>
      </c>
      <c r="F657">
        <v>25</v>
      </c>
      <c r="G657" t="s">
        <v>16</v>
      </c>
      <c r="H657">
        <v>739.63</v>
      </c>
      <c r="I657">
        <v>1103.03</v>
      </c>
      <c r="J657" t="s">
        <v>30</v>
      </c>
      <c r="K657">
        <v>0.26</v>
      </c>
      <c r="L657" t="s">
        <v>27</v>
      </c>
      <c r="M657" t="s">
        <v>22</v>
      </c>
      <c r="N657" t="s">
        <v>50</v>
      </c>
      <c r="O657" t="str">
        <f t="shared" si="50"/>
        <v>Sep</v>
      </c>
      <c r="P657" t="str">
        <f t="shared" si="51"/>
        <v>Tuesday</v>
      </c>
      <c r="Q657">
        <f t="shared" si="52"/>
        <v>13683.155000000001</v>
      </c>
      <c r="R657">
        <f t="shared" si="53"/>
        <v>9085</v>
      </c>
      <c r="S657">
        <f t="shared" si="54"/>
        <v>6722.9</v>
      </c>
    </row>
    <row r="658" spans="1:19" x14ac:dyDescent="0.3">
      <c r="A658">
        <v>1076</v>
      </c>
      <c r="B658" s="1">
        <v>45046</v>
      </c>
      <c r="C658" t="s">
        <v>38</v>
      </c>
      <c r="D658" t="s">
        <v>21</v>
      </c>
      <c r="E658">
        <v>3279.51</v>
      </c>
      <c r="F658">
        <v>32</v>
      </c>
      <c r="G658" t="s">
        <v>29</v>
      </c>
      <c r="H658">
        <v>4337.82</v>
      </c>
      <c r="I658">
        <v>4460.71</v>
      </c>
      <c r="J658" t="s">
        <v>17</v>
      </c>
      <c r="K658">
        <v>0.3</v>
      </c>
      <c r="L658" t="s">
        <v>18</v>
      </c>
      <c r="M658" t="s">
        <v>22</v>
      </c>
      <c r="N658" t="s">
        <v>41</v>
      </c>
      <c r="O658" t="str">
        <f t="shared" si="50"/>
        <v>Apr</v>
      </c>
      <c r="P658" t="str">
        <f t="shared" si="51"/>
        <v>Sunday</v>
      </c>
      <c r="Q658">
        <f t="shared" si="52"/>
        <v>97167.167999999991</v>
      </c>
      <c r="R658">
        <f t="shared" si="53"/>
        <v>3932.4800000000105</v>
      </c>
      <c r="S658">
        <f t="shared" si="54"/>
        <v>2752.7360000000072</v>
      </c>
    </row>
    <row r="659" spans="1:19"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c r="O659" t="str">
        <f t="shared" si="50"/>
        <v>Mar</v>
      </c>
      <c r="P659" t="str">
        <f t="shared" si="51"/>
        <v>Thursday</v>
      </c>
      <c r="Q659">
        <f t="shared" si="52"/>
        <v>40588.454999999994</v>
      </c>
      <c r="R659">
        <f t="shared" si="53"/>
        <v>3457.5</v>
      </c>
      <c r="S659">
        <f t="shared" si="54"/>
        <v>3215.4749999999999</v>
      </c>
    </row>
    <row r="660" spans="1:19" x14ac:dyDescent="0.3">
      <c r="A660">
        <v>1074</v>
      </c>
      <c r="B660" s="1">
        <v>45255</v>
      </c>
      <c r="C660" t="s">
        <v>38</v>
      </c>
      <c r="D660" t="s">
        <v>15</v>
      </c>
      <c r="E660">
        <v>3570.15</v>
      </c>
      <c r="F660">
        <v>42</v>
      </c>
      <c r="G660" t="s">
        <v>16</v>
      </c>
      <c r="H660">
        <v>2120.81</v>
      </c>
      <c r="I660">
        <v>2611.94</v>
      </c>
      <c r="J660" t="s">
        <v>17</v>
      </c>
      <c r="K660">
        <v>0.23</v>
      </c>
      <c r="L660" t="s">
        <v>18</v>
      </c>
      <c r="M660" t="s">
        <v>19</v>
      </c>
      <c r="N660" t="s">
        <v>40</v>
      </c>
      <c r="O660" t="str">
        <f t="shared" si="50"/>
        <v>Nov</v>
      </c>
      <c r="P660" t="str">
        <f t="shared" si="51"/>
        <v>Saturday</v>
      </c>
      <c r="Q660">
        <f t="shared" si="52"/>
        <v>68586.9954</v>
      </c>
      <c r="R660">
        <f t="shared" si="53"/>
        <v>20627.460000000006</v>
      </c>
      <c r="S660">
        <f t="shared" si="54"/>
        <v>15883.144200000006</v>
      </c>
    </row>
    <row r="661" spans="1:19"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c r="O661" t="str">
        <f t="shared" si="50"/>
        <v>Mar</v>
      </c>
      <c r="P661" t="str">
        <f t="shared" si="51"/>
        <v>Thursday</v>
      </c>
      <c r="Q661">
        <f t="shared" si="52"/>
        <v>73792.128000000012</v>
      </c>
      <c r="R661">
        <f t="shared" si="53"/>
        <v>13945.599999999995</v>
      </c>
      <c r="S661">
        <f t="shared" si="54"/>
        <v>11435.391999999996</v>
      </c>
    </row>
    <row r="662" spans="1:19" x14ac:dyDescent="0.3">
      <c r="A662">
        <v>1017</v>
      </c>
      <c r="B662" s="1">
        <v>45283</v>
      </c>
      <c r="C662" t="s">
        <v>42</v>
      </c>
      <c r="D662" t="s">
        <v>34</v>
      </c>
      <c r="E662">
        <v>780.27</v>
      </c>
      <c r="F662">
        <v>33</v>
      </c>
      <c r="G662" t="s">
        <v>26</v>
      </c>
      <c r="H662">
        <v>1551.25</v>
      </c>
      <c r="I662">
        <v>1994.01</v>
      </c>
      <c r="J662" t="s">
        <v>17</v>
      </c>
      <c r="K662">
        <v>0.08</v>
      </c>
      <c r="L662" t="s">
        <v>18</v>
      </c>
      <c r="M662" t="s">
        <v>19</v>
      </c>
      <c r="N662" t="s">
        <v>52</v>
      </c>
      <c r="O662" t="str">
        <f t="shared" si="50"/>
        <v>Dec</v>
      </c>
      <c r="P662" t="str">
        <f t="shared" si="51"/>
        <v>Saturday</v>
      </c>
      <c r="Q662">
        <f t="shared" si="52"/>
        <v>47095.950000000004</v>
      </c>
      <c r="R662">
        <f t="shared" si="53"/>
        <v>14611.08</v>
      </c>
      <c r="S662">
        <f t="shared" si="54"/>
        <v>13442.193600000001</v>
      </c>
    </row>
    <row r="663" spans="1:19"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c r="O663" t="str">
        <f t="shared" si="50"/>
        <v>Apr</v>
      </c>
      <c r="P663" t="str">
        <f t="shared" si="51"/>
        <v>Saturday</v>
      </c>
      <c r="Q663">
        <f t="shared" si="52"/>
        <v>33202.155999999995</v>
      </c>
      <c r="R663">
        <f t="shared" si="53"/>
        <v>6170.059999999874</v>
      </c>
      <c r="S663">
        <f t="shared" si="54"/>
        <v>4380.7425999999105</v>
      </c>
    </row>
    <row r="664" spans="1:19" x14ac:dyDescent="0.3">
      <c r="A664">
        <v>1046</v>
      </c>
      <c r="B664" s="1">
        <v>45193</v>
      </c>
      <c r="C664" t="s">
        <v>33</v>
      </c>
      <c r="D664" t="s">
        <v>21</v>
      </c>
      <c r="E664">
        <v>4695.96</v>
      </c>
      <c r="F664">
        <v>41</v>
      </c>
      <c r="G664" t="s">
        <v>29</v>
      </c>
      <c r="H664">
        <v>1825.37</v>
      </c>
      <c r="I664">
        <v>2073.88</v>
      </c>
      <c r="J664" t="s">
        <v>17</v>
      </c>
      <c r="K664">
        <v>0.27</v>
      </c>
      <c r="L664" t="s">
        <v>18</v>
      </c>
      <c r="M664" t="s">
        <v>22</v>
      </c>
      <c r="N664" t="s">
        <v>37</v>
      </c>
      <c r="O664" t="str">
        <f t="shared" si="50"/>
        <v>Sep</v>
      </c>
      <c r="P664" t="str">
        <f t="shared" si="51"/>
        <v>Sunday</v>
      </c>
      <c r="Q664">
        <f t="shared" si="52"/>
        <v>54633.324099999998</v>
      </c>
      <c r="R664">
        <f t="shared" si="53"/>
        <v>10188.910000000009</v>
      </c>
      <c r="S664">
        <f t="shared" si="54"/>
        <v>7437.9043000000065</v>
      </c>
    </row>
    <row r="665" spans="1:19" x14ac:dyDescent="0.3">
      <c r="A665">
        <v>1013</v>
      </c>
      <c r="B665" s="1">
        <v>45031</v>
      </c>
      <c r="C665" t="s">
        <v>38</v>
      </c>
      <c r="D665" t="s">
        <v>15</v>
      </c>
      <c r="E665">
        <v>7255.1</v>
      </c>
      <c r="F665">
        <v>42</v>
      </c>
      <c r="G665" t="s">
        <v>16</v>
      </c>
      <c r="H665">
        <v>1375.57</v>
      </c>
      <c r="I665">
        <v>1729.71</v>
      </c>
      <c r="J665" t="s">
        <v>30</v>
      </c>
      <c r="K665">
        <v>0.04</v>
      </c>
      <c r="L665" t="s">
        <v>18</v>
      </c>
      <c r="M665" t="s">
        <v>19</v>
      </c>
      <c r="N665" t="s">
        <v>40</v>
      </c>
      <c r="O665" t="str">
        <f t="shared" si="50"/>
        <v>Apr</v>
      </c>
      <c r="P665" t="str">
        <f t="shared" si="51"/>
        <v>Saturday</v>
      </c>
      <c r="Q665">
        <f t="shared" si="52"/>
        <v>55462.982399999994</v>
      </c>
      <c r="R665">
        <f t="shared" si="53"/>
        <v>14873.880000000005</v>
      </c>
      <c r="S665">
        <f t="shared" si="54"/>
        <v>14278.924800000004</v>
      </c>
    </row>
    <row r="666" spans="1:19" x14ac:dyDescent="0.3">
      <c r="A666">
        <v>1040</v>
      </c>
      <c r="B666" s="1">
        <v>45249</v>
      </c>
      <c r="C666" t="s">
        <v>24</v>
      </c>
      <c r="D666" t="s">
        <v>15</v>
      </c>
      <c r="E666">
        <v>6601.62</v>
      </c>
      <c r="F666">
        <v>47</v>
      </c>
      <c r="G666" t="s">
        <v>35</v>
      </c>
      <c r="H666">
        <v>2189.54</v>
      </c>
      <c r="I666">
        <v>2617</v>
      </c>
      <c r="J666" t="s">
        <v>30</v>
      </c>
      <c r="K666">
        <v>0.01</v>
      </c>
      <c r="L666" t="s">
        <v>27</v>
      </c>
      <c r="M666" t="s">
        <v>19</v>
      </c>
      <c r="N666" t="s">
        <v>45</v>
      </c>
      <c r="O666" t="str">
        <f t="shared" si="50"/>
        <v>Nov</v>
      </c>
      <c r="P666" t="str">
        <f t="shared" si="51"/>
        <v>Sunday</v>
      </c>
      <c r="Q666">
        <f t="shared" si="52"/>
        <v>101879.2962</v>
      </c>
      <c r="R666">
        <f t="shared" si="53"/>
        <v>20090.620000000003</v>
      </c>
      <c r="S666">
        <f t="shared" si="54"/>
        <v>19889.713800000001</v>
      </c>
    </row>
    <row r="667" spans="1:19" x14ac:dyDescent="0.3">
      <c r="A667">
        <v>1042</v>
      </c>
      <c r="B667" s="1">
        <v>45049</v>
      </c>
      <c r="C667" t="s">
        <v>42</v>
      </c>
      <c r="D667" t="s">
        <v>21</v>
      </c>
      <c r="E667">
        <v>7116.78</v>
      </c>
      <c r="F667">
        <v>37</v>
      </c>
      <c r="G667" t="s">
        <v>16</v>
      </c>
      <c r="H667">
        <v>502.86</v>
      </c>
      <c r="I667">
        <v>687.6</v>
      </c>
      <c r="J667" t="s">
        <v>17</v>
      </c>
      <c r="K667">
        <v>0.21</v>
      </c>
      <c r="L667" t="s">
        <v>18</v>
      </c>
      <c r="M667" t="s">
        <v>19</v>
      </c>
      <c r="N667" t="s">
        <v>51</v>
      </c>
      <c r="O667" t="str">
        <f t="shared" si="50"/>
        <v>May</v>
      </c>
      <c r="P667" t="str">
        <f t="shared" si="51"/>
        <v>Wednesday</v>
      </c>
      <c r="Q667">
        <f t="shared" si="52"/>
        <v>14698.5978</v>
      </c>
      <c r="R667">
        <f t="shared" si="53"/>
        <v>6835.38</v>
      </c>
      <c r="S667">
        <f t="shared" si="54"/>
        <v>5399.9502000000002</v>
      </c>
    </row>
    <row r="668" spans="1:19" x14ac:dyDescent="0.3">
      <c r="A668">
        <v>1009</v>
      </c>
      <c r="B668" s="1">
        <v>44955</v>
      </c>
      <c r="C668" t="s">
        <v>38</v>
      </c>
      <c r="D668" t="s">
        <v>21</v>
      </c>
      <c r="E668">
        <v>182.8</v>
      </c>
      <c r="F668">
        <v>16</v>
      </c>
      <c r="G668" t="s">
        <v>29</v>
      </c>
      <c r="H668">
        <v>3745.69</v>
      </c>
      <c r="I668">
        <v>3883.77</v>
      </c>
      <c r="J668" t="s">
        <v>17</v>
      </c>
      <c r="K668">
        <v>0.18</v>
      </c>
      <c r="L668" t="s">
        <v>27</v>
      </c>
      <c r="M668" t="s">
        <v>22</v>
      </c>
      <c r="N668" t="s">
        <v>41</v>
      </c>
      <c r="O668" t="str">
        <f t="shared" si="50"/>
        <v>Jan</v>
      </c>
      <c r="P668" t="str">
        <f t="shared" si="51"/>
        <v>Sunday</v>
      </c>
      <c r="Q668">
        <f t="shared" si="52"/>
        <v>49143.452800000006</v>
      </c>
      <c r="R668">
        <f t="shared" si="53"/>
        <v>2209.2799999999988</v>
      </c>
      <c r="S668">
        <f t="shared" si="54"/>
        <v>1811.6095999999991</v>
      </c>
    </row>
    <row r="669" spans="1:19"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c r="O669" t="str">
        <f t="shared" si="50"/>
        <v>May</v>
      </c>
      <c r="P669" t="str">
        <f t="shared" si="51"/>
        <v>Wednesday</v>
      </c>
      <c r="Q669">
        <f t="shared" si="52"/>
        <v>3640.14</v>
      </c>
      <c r="R669">
        <f t="shared" si="53"/>
        <v>21322.35</v>
      </c>
      <c r="S669">
        <f t="shared" si="54"/>
        <v>15352.091999999999</v>
      </c>
    </row>
    <row r="670" spans="1:19"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c r="O670" t="str">
        <f t="shared" si="50"/>
        <v>Jul</v>
      </c>
      <c r="P670" t="str">
        <f t="shared" si="51"/>
        <v>Friday</v>
      </c>
      <c r="Q670">
        <f t="shared" si="52"/>
        <v>66294.491999999984</v>
      </c>
      <c r="R670">
        <f t="shared" si="53"/>
        <v>8049.5799999997871</v>
      </c>
      <c r="S670">
        <f t="shared" si="54"/>
        <v>7486.1093999998011</v>
      </c>
    </row>
    <row r="671" spans="1:19" x14ac:dyDescent="0.3">
      <c r="A671">
        <v>1066</v>
      </c>
      <c r="B671" s="1">
        <v>45152</v>
      </c>
      <c r="C671" t="s">
        <v>42</v>
      </c>
      <c r="D671" t="s">
        <v>25</v>
      </c>
      <c r="E671">
        <v>4891.49</v>
      </c>
      <c r="F671">
        <v>20</v>
      </c>
      <c r="G671" t="s">
        <v>35</v>
      </c>
      <c r="H671">
        <v>955.18</v>
      </c>
      <c r="I671">
        <v>1072.82</v>
      </c>
      <c r="J671" t="s">
        <v>30</v>
      </c>
      <c r="K671">
        <v>0.03</v>
      </c>
      <c r="L671" t="s">
        <v>27</v>
      </c>
      <c r="M671" t="s">
        <v>22</v>
      </c>
      <c r="N671" t="s">
        <v>43</v>
      </c>
      <c r="O671" t="str">
        <f t="shared" si="50"/>
        <v>Aug</v>
      </c>
      <c r="P671" t="str">
        <f t="shared" si="51"/>
        <v>Monday</v>
      </c>
      <c r="Q671">
        <f t="shared" si="52"/>
        <v>18530.491999999998</v>
      </c>
      <c r="R671">
        <f t="shared" si="53"/>
        <v>2352.7999999999997</v>
      </c>
      <c r="S671">
        <f t="shared" si="54"/>
        <v>2282.2159999999999</v>
      </c>
    </row>
    <row r="672" spans="1:19" x14ac:dyDescent="0.3">
      <c r="A672">
        <v>1005</v>
      </c>
      <c r="B672" s="1">
        <v>45258</v>
      </c>
      <c r="C672" t="s">
        <v>24</v>
      </c>
      <c r="D672" t="s">
        <v>21</v>
      </c>
      <c r="E672">
        <v>152.6</v>
      </c>
      <c r="F672">
        <v>43</v>
      </c>
      <c r="G672" t="s">
        <v>16</v>
      </c>
      <c r="H672">
        <v>1200.4000000000001</v>
      </c>
      <c r="I672">
        <v>1430.45</v>
      </c>
      <c r="J672" t="s">
        <v>30</v>
      </c>
      <c r="K672">
        <v>0.08</v>
      </c>
      <c r="L672" t="s">
        <v>27</v>
      </c>
      <c r="M672" t="s">
        <v>22</v>
      </c>
      <c r="N672" t="s">
        <v>47</v>
      </c>
      <c r="O672" t="str">
        <f t="shared" si="50"/>
        <v>Nov</v>
      </c>
      <c r="P672" t="str">
        <f t="shared" si="51"/>
        <v>Tuesday</v>
      </c>
      <c r="Q672">
        <f t="shared" si="52"/>
        <v>47487.824000000008</v>
      </c>
      <c r="R672">
        <f t="shared" si="53"/>
        <v>9892.1499999999978</v>
      </c>
      <c r="S672">
        <f t="shared" si="54"/>
        <v>9100.7779999999984</v>
      </c>
    </row>
    <row r="673" spans="1:19" x14ac:dyDescent="0.3">
      <c r="A673">
        <v>1029</v>
      </c>
      <c r="B673" s="1">
        <v>45096</v>
      </c>
      <c r="C673" t="s">
        <v>38</v>
      </c>
      <c r="D673" t="s">
        <v>25</v>
      </c>
      <c r="E673">
        <v>8064.5</v>
      </c>
      <c r="F673">
        <v>27</v>
      </c>
      <c r="G673" t="s">
        <v>26</v>
      </c>
      <c r="H673">
        <v>3196.38</v>
      </c>
      <c r="I673">
        <v>3596.64</v>
      </c>
      <c r="J673" t="s">
        <v>30</v>
      </c>
      <c r="K673">
        <v>0.01</v>
      </c>
      <c r="L673" t="s">
        <v>18</v>
      </c>
      <c r="M673" t="s">
        <v>22</v>
      </c>
      <c r="N673" t="s">
        <v>39</v>
      </c>
      <c r="O673" t="str">
        <f t="shared" si="50"/>
        <v>Jun</v>
      </c>
      <c r="P673" t="str">
        <f t="shared" si="51"/>
        <v>Monday</v>
      </c>
      <c r="Q673">
        <f t="shared" si="52"/>
        <v>85439.237400000013</v>
      </c>
      <c r="R673">
        <f t="shared" si="53"/>
        <v>10807.019999999993</v>
      </c>
      <c r="S673">
        <f t="shared" si="54"/>
        <v>10698.949799999993</v>
      </c>
    </row>
    <row r="674" spans="1:19" x14ac:dyDescent="0.3">
      <c r="A674">
        <v>1037</v>
      </c>
      <c r="B674" s="1">
        <v>44935</v>
      </c>
      <c r="C674" t="s">
        <v>33</v>
      </c>
      <c r="D674" t="s">
        <v>15</v>
      </c>
      <c r="E674">
        <v>7750.81</v>
      </c>
      <c r="F674">
        <v>41</v>
      </c>
      <c r="G674" t="s">
        <v>29</v>
      </c>
      <c r="H674">
        <v>4965.07</v>
      </c>
      <c r="I674">
        <v>5243.13</v>
      </c>
      <c r="J674" t="s">
        <v>30</v>
      </c>
      <c r="K674">
        <v>0.01</v>
      </c>
      <c r="L674" t="s">
        <v>31</v>
      </c>
      <c r="M674" t="s">
        <v>19</v>
      </c>
      <c r="N674" t="s">
        <v>53</v>
      </c>
      <c r="O674" t="str">
        <f t="shared" si="50"/>
        <v>Jan</v>
      </c>
      <c r="P674" t="str">
        <f t="shared" si="51"/>
        <v>Monday</v>
      </c>
      <c r="Q674">
        <f t="shared" si="52"/>
        <v>201532.19130000001</v>
      </c>
      <c r="R674">
        <f t="shared" si="53"/>
        <v>11400.460000000017</v>
      </c>
      <c r="S674">
        <f t="shared" si="54"/>
        <v>11286.455400000017</v>
      </c>
    </row>
    <row r="675" spans="1:19" x14ac:dyDescent="0.3">
      <c r="A675">
        <v>1038</v>
      </c>
      <c r="B675" s="1">
        <v>44966</v>
      </c>
      <c r="C675" t="s">
        <v>42</v>
      </c>
      <c r="D675" t="s">
        <v>34</v>
      </c>
      <c r="E675">
        <v>5529.35</v>
      </c>
      <c r="F675">
        <v>16</v>
      </c>
      <c r="G675" t="s">
        <v>16</v>
      </c>
      <c r="H675">
        <v>3899.7</v>
      </c>
      <c r="I675">
        <v>4228.18</v>
      </c>
      <c r="J675" t="s">
        <v>30</v>
      </c>
      <c r="K675">
        <v>0.27</v>
      </c>
      <c r="L675" t="s">
        <v>18</v>
      </c>
      <c r="M675" t="s">
        <v>22</v>
      </c>
      <c r="N675" t="s">
        <v>52</v>
      </c>
      <c r="O675" t="str">
        <f t="shared" si="50"/>
        <v>Feb</v>
      </c>
      <c r="P675" t="str">
        <f t="shared" si="51"/>
        <v>Thursday</v>
      </c>
      <c r="Q675">
        <f t="shared" si="52"/>
        <v>45548.495999999999</v>
      </c>
      <c r="R675">
        <f t="shared" si="53"/>
        <v>5255.6800000000076</v>
      </c>
      <c r="S675">
        <f t="shared" si="54"/>
        <v>3836.6464000000055</v>
      </c>
    </row>
    <row r="676" spans="1:19"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c r="O676" t="str">
        <f t="shared" si="50"/>
        <v>Jan</v>
      </c>
      <c r="P676" t="str">
        <f t="shared" si="51"/>
        <v>Wednesday</v>
      </c>
      <c r="Q676">
        <f t="shared" si="52"/>
        <v>35340.956600000005</v>
      </c>
      <c r="R676">
        <f t="shared" si="53"/>
        <v>12897.899999999998</v>
      </c>
      <c r="S676">
        <f t="shared" si="54"/>
        <v>11479.130999999998</v>
      </c>
    </row>
    <row r="677" spans="1:19" x14ac:dyDescent="0.3">
      <c r="A677">
        <v>1008</v>
      </c>
      <c r="B677" s="1">
        <v>45187</v>
      </c>
      <c r="C677" t="s">
        <v>33</v>
      </c>
      <c r="D677" t="s">
        <v>25</v>
      </c>
      <c r="E677">
        <v>7688.5</v>
      </c>
      <c r="F677">
        <v>32</v>
      </c>
      <c r="G677" t="s">
        <v>26</v>
      </c>
      <c r="H677">
        <v>921.32</v>
      </c>
      <c r="I677">
        <v>1236.0999999999999</v>
      </c>
      <c r="J677" t="s">
        <v>30</v>
      </c>
      <c r="K677">
        <v>0.12</v>
      </c>
      <c r="L677" t="s">
        <v>31</v>
      </c>
      <c r="M677" t="s">
        <v>19</v>
      </c>
      <c r="N677" t="s">
        <v>44</v>
      </c>
      <c r="O677" t="str">
        <f t="shared" si="50"/>
        <v>Sep</v>
      </c>
      <c r="P677" t="str">
        <f t="shared" si="51"/>
        <v>Monday</v>
      </c>
      <c r="Q677">
        <f t="shared" si="52"/>
        <v>25944.371200000001</v>
      </c>
      <c r="R677">
        <f t="shared" si="53"/>
        <v>10072.959999999995</v>
      </c>
      <c r="S677">
        <f t="shared" si="54"/>
        <v>8864.2047999999959</v>
      </c>
    </row>
    <row r="678" spans="1:19"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c r="O678" t="str">
        <f t="shared" si="50"/>
        <v>Aug</v>
      </c>
      <c r="P678" t="str">
        <f t="shared" si="51"/>
        <v>Monday</v>
      </c>
      <c r="Q678">
        <f t="shared" si="52"/>
        <v>111656.25900000001</v>
      </c>
      <c r="R678">
        <f t="shared" si="53"/>
        <v>7140.6399999999849</v>
      </c>
      <c r="S678">
        <f t="shared" si="54"/>
        <v>7069.233599999985</v>
      </c>
    </row>
    <row r="679" spans="1:19" x14ac:dyDescent="0.3">
      <c r="A679">
        <v>1086</v>
      </c>
      <c r="B679" s="1">
        <v>45050</v>
      </c>
      <c r="C679" t="s">
        <v>14</v>
      </c>
      <c r="D679" t="s">
        <v>21</v>
      </c>
      <c r="E679">
        <v>7841.4</v>
      </c>
      <c r="F679">
        <v>25</v>
      </c>
      <c r="G679" t="s">
        <v>26</v>
      </c>
      <c r="H679">
        <v>2248.71</v>
      </c>
      <c r="I679">
        <v>2626.02</v>
      </c>
      <c r="J679" t="s">
        <v>30</v>
      </c>
      <c r="K679">
        <v>0.08</v>
      </c>
      <c r="L679" t="s">
        <v>27</v>
      </c>
      <c r="M679" t="s">
        <v>19</v>
      </c>
      <c r="N679" t="s">
        <v>23</v>
      </c>
      <c r="O679" t="str">
        <f t="shared" si="50"/>
        <v>May</v>
      </c>
      <c r="P679" t="str">
        <f t="shared" si="51"/>
        <v>Thursday</v>
      </c>
      <c r="Q679">
        <f t="shared" si="52"/>
        <v>51720.33</v>
      </c>
      <c r="R679">
        <f t="shared" si="53"/>
        <v>9432.7499999999982</v>
      </c>
      <c r="S679">
        <f t="shared" si="54"/>
        <v>8678.1299999999992</v>
      </c>
    </row>
    <row r="680" spans="1:19" x14ac:dyDescent="0.3">
      <c r="A680">
        <v>1017</v>
      </c>
      <c r="B680" s="1">
        <v>44964</v>
      </c>
      <c r="C680" t="s">
        <v>33</v>
      </c>
      <c r="D680" t="s">
        <v>21</v>
      </c>
      <c r="E680">
        <v>7542.3</v>
      </c>
      <c r="F680">
        <v>2</v>
      </c>
      <c r="G680" t="s">
        <v>26</v>
      </c>
      <c r="H680">
        <v>728.41</v>
      </c>
      <c r="I680">
        <v>1094.92</v>
      </c>
      <c r="J680" t="s">
        <v>30</v>
      </c>
      <c r="K680">
        <v>0.24</v>
      </c>
      <c r="L680" t="s">
        <v>18</v>
      </c>
      <c r="M680" t="s">
        <v>22</v>
      </c>
      <c r="N680" t="s">
        <v>37</v>
      </c>
      <c r="O680" t="str">
        <f t="shared" si="50"/>
        <v>Feb</v>
      </c>
      <c r="P680" t="str">
        <f t="shared" si="51"/>
        <v>Tuesday</v>
      </c>
      <c r="Q680">
        <f t="shared" si="52"/>
        <v>1107.1831999999999</v>
      </c>
      <c r="R680">
        <f t="shared" si="53"/>
        <v>733.02000000000021</v>
      </c>
      <c r="S680">
        <f t="shared" si="54"/>
        <v>557.0952000000002</v>
      </c>
    </row>
    <row r="681" spans="1:19" x14ac:dyDescent="0.3">
      <c r="A681">
        <v>1071</v>
      </c>
      <c r="B681" s="1">
        <v>45254</v>
      </c>
      <c r="C681" t="s">
        <v>42</v>
      </c>
      <c r="D681" t="s">
        <v>21</v>
      </c>
      <c r="E681">
        <v>8049.72</v>
      </c>
      <c r="F681">
        <v>12</v>
      </c>
      <c r="G681" t="s">
        <v>26</v>
      </c>
      <c r="H681">
        <v>4317.95</v>
      </c>
      <c r="I681">
        <v>4636.59</v>
      </c>
      <c r="J681" t="s">
        <v>30</v>
      </c>
      <c r="K681">
        <v>0.18</v>
      </c>
      <c r="L681" t="s">
        <v>31</v>
      </c>
      <c r="M681" t="s">
        <v>22</v>
      </c>
      <c r="N681" t="s">
        <v>51</v>
      </c>
      <c r="O681" t="str">
        <f t="shared" si="50"/>
        <v>Nov</v>
      </c>
      <c r="P681" t="str">
        <f t="shared" si="51"/>
        <v>Friday</v>
      </c>
      <c r="Q681">
        <f t="shared" si="52"/>
        <v>42488.627999999997</v>
      </c>
      <c r="R681">
        <f t="shared" si="53"/>
        <v>3823.6800000000039</v>
      </c>
      <c r="S681">
        <f t="shared" si="54"/>
        <v>3135.4176000000034</v>
      </c>
    </row>
    <row r="682" spans="1:19" x14ac:dyDescent="0.3">
      <c r="A682">
        <v>1089</v>
      </c>
      <c r="B682" s="1">
        <v>45177</v>
      </c>
      <c r="C682" t="s">
        <v>14</v>
      </c>
      <c r="D682" t="s">
        <v>21</v>
      </c>
      <c r="E682">
        <v>5228.28</v>
      </c>
      <c r="F682">
        <v>40</v>
      </c>
      <c r="G682" t="s">
        <v>16</v>
      </c>
      <c r="H682">
        <v>4089.66</v>
      </c>
      <c r="I682">
        <v>4275.96</v>
      </c>
      <c r="J682" t="s">
        <v>30</v>
      </c>
      <c r="K682">
        <v>0.23</v>
      </c>
      <c r="L682" t="s">
        <v>31</v>
      </c>
      <c r="M682" t="s">
        <v>19</v>
      </c>
      <c r="N682" t="s">
        <v>23</v>
      </c>
      <c r="O682" t="str">
        <f t="shared" si="50"/>
        <v>Sep</v>
      </c>
      <c r="P682" t="str">
        <f t="shared" si="51"/>
        <v>Friday</v>
      </c>
      <c r="Q682">
        <f t="shared" si="52"/>
        <v>125961.52799999999</v>
      </c>
      <c r="R682">
        <f t="shared" si="53"/>
        <v>7452.0000000000073</v>
      </c>
      <c r="S682">
        <f t="shared" si="54"/>
        <v>5738.0400000000054</v>
      </c>
    </row>
    <row r="683" spans="1:19"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c r="O683" t="str">
        <f t="shared" si="50"/>
        <v>Jun</v>
      </c>
      <c r="P683" t="str">
        <f t="shared" si="51"/>
        <v>Sunday</v>
      </c>
      <c r="Q683">
        <f t="shared" si="52"/>
        <v>38526.262199999997</v>
      </c>
      <c r="R683">
        <f t="shared" si="53"/>
        <v>1879.6499999999951</v>
      </c>
      <c r="S683">
        <f t="shared" si="54"/>
        <v>1635.2954999999956</v>
      </c>
    </row>
    <row r="684" spans="1:19"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c r="O684" t="str">
        <f t="shared" si="50"/>
        <v>Mar</v>
      </c>
      <c r="P684" t="str">
        <f t="shared" si="51"/>
        <v>Friday</v>
      </c>
      <c r="Q684">
        <f t="shared" si="52"/>
        <v>49721.2716</v>
      </c>
      <c r="R684">
        <f t="shared" si="53"/>
        <v>5826.1200000000026</v>
      </c>
      <c r="S684">
        <f t="shared" si="54"/>
        <v>5301.7692000000025</v>
      </c>
    </row>
    <row r="685" spans="1:19"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c r="O685" t="str">
        <f t="shared" si="50"/>
        <v>Feb</v>
      </c>
      <c r="P685" t="str">
        <f t="shared" si="51"/>
        <v>Monday</v>
      </c>
      <c r="Q685">
        <f t="shared" si="52"/>
        <v>95395.809599999993</v>
      </c>
      <c r="R685">
        <f t="shared" si="53"/>
        <v>1691.819999999756</v>
      </c>
      <c r="S685">
        <f t="shared" si="54"/>
        <v>1454.96519999979</v>
      </c>
    </row>
    <row r="686" spans="1:19" x14ac:dyDescent="0.3">
      <c r="A686">
        <v>1070</v>
      </c>
      <c r="B686" s="1">
        <v>45242</v>
      </c>
      <c r="C686" t="s">
        <v>14</v>
      </c>
      <c r="D686" t="s">
        <v>25</v>
      </c>
      <c r="E686">
        <v>7448.31</v>
      </c>
      <c r="F686">
        <v>9</v>
      </c>
      <c r="G686" t="s">
        <v>35</v>
      </c>
      <c r="H686">
        <v>310.24</v>
      </c>
      <c r="I686">
        <v>451.81</v>
      </c>
      <c r="J686" t="s">
        <v>17</v>
      </c>
      <c r="K686">
        <v>0.1</v>
      </c>
      <c r="L686" t="s">
        <v>18</v>
      </c>
      <c r="M686" t="s">
        <v>22</v>
      </c>
      <c r="N686" t="s">
        <v>32</v>
      </c>
      <c r="O686" t="str">
        <f t="shared" si="50"/>
        <v>Nov</v>
      </c>
      <c r="P686" t="str">
        <f t="shared" si="51"/>
        <v>Sunday</v>
      </c>
      <c r="Q686">
        <f t="shared" si="52"/>
        <v>2512.944</v>
      </c>
      <c r="R686">
        <f t="shared" si="53"/>
        <v>1274.1299999999999</v>
      </c>
      <c r="S686">
        <f t="shared" si="54"/>
        <v>1146.7169999999999</v>
      </c>
    </row>
    <row r="687" spans="1:19" x14ac:dyDescent="0.3">
      <c r="A687">
        <v>1031</v>
      </c>
      <c r="B687" s="1">
        <v>45102</v>
      </c>
      <c r="C687" t="s">
        <v>42</v>
      </c>
      <c r="D687" t="s">
        <v>21</v>
      </c>
      <c r="E687">
        <v>1781.82</v>
      </c>
      <c r="F687">
        <v>10</v>
      </c>
      <c r="G687" t="s">
        <v>35</v>
      </c>
      <c r="H687">
        <v>566.86</v>
      </c>
      <c r="I687">
        <v>818.14</v>
      </c>
      <c r="J687" t="s">
        <v>17</v>
      </c>
      <c r="K687">
        <v>0.25</v>
      </c>
      <c r="L687" t="s">
        <v>31</v>
      </c>
      <c r="M687" t="s">
        <v>22</v>
      </c>
      <c r="N687" t="s">
        <v>51</v>
      </c>
      <c r="O687" t="str">
        <f t="shared" si="50"/>
        <v>Jun</v>
      </c>
      <c r="P687" t="str">
        <f t="shared" si="51"/>
        <v>Sunday</v>
      </c>
      <c r="Q687">
        <f t="shared" si="52"/>
        <v>4251.4500000000007</v>
      </c>
      <c r="R687">
        <f t="shared" si="53"/>
        <v>2512.7999999999997</v>
      </c>
      <c r="S687">
        <f t="shared" si="54"/>
        <v>1884.6</v>
      </c>
    </row>
    <row r="688" spans="1:19" x14ac:dyDescent="0.3">
      <c r="A688">
        <v>1019</v>
      </c>
      <c r="B688" s="1">
        <v>45210</v>
      </c>
      <c r="C688" t="s">
        <v>38</v>
      </c>
      <c r="D688" t="s">
        <v>25</v>
      </c>
      <c r="E688">
        <v>2030.25</v>
      </c>
      <c r="F688">
        <v>32</v>
      </c>
      <c r="G688" t="s">
        <v>35</v>
      </c>
      <c r="H688">
        <v>2866.47</v>
      </c>
      <c r="I688">
        <v>3286.47</v>
      </c>
      <c r="J688" t="s">
        <v>30</v>
      </c>
      <c r="K688">
        <v>0.09</v>
      </c>
      <c r="L688" t="s">
        <v>31</v>
      </c>
      <c r="M688" t="s">
        <v>19</v>
      </c>
      <c r="N688" t="s">
        <v>39</v>
      </c>
      <c r="O688" t="str">
        <f t="shared" si="50"/>
        <v>Oct</v>
      </c>
      <c r="P688" t="str">
        <f t="shared" si="51"/>
        <v>Wednesday</v>
      </c>
      <c r="Q688">
        <f t="shared" si="52"/>
        <v>83471.606400000004</v>
      </c>
      <c r="R688">
        <f t="shared" si="53"/>
        <v>13440</v>
      </c>
      <c r="S688">
        <f t="shared" si="54"/>
        <v>12230.4</v>
      </c>
    </row>
    <row r="689" spans="1:19"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c r="O689" t="str">
        <f t="shared" si="50"/>
        <v>Mar</v>
      </c>
      <c r="P689" t="str">
        <f t="shared" si="51"/>
        <v>Wednesday</v>
      </c>
      <c r="Q689">
        <f t="shared" si="52"/>
        <v>72918.304000000004</v>
      </c>
      <c r="R689">
        <f t="shared" si="53"/>
        <v>3066.7999999999938</v>
      </c>
      <c r="S689">
        <f t="shared" si="54"/>
        <v>2453.4399999999951</v>
      </c>
    </row>
    <row r="690" spans="1:19" x14ac:dyDescent="0.3">
      <c r="A690">
        <v>1054</v>
      </c>
      <c r="B690" s="1">
        <v>45040</v>
      </c>
      <c r="C690" t="s">
        <v>24</v>
      </c>
      <c r="D690" t="s">
        <v>15</v>
      </c>
      <c r="E690">
        <v>7524.78</v>
      </c>
      <c r="F690">
        <v>48</v>
      </c>
      <c r="G690" t="s">
        <v>26</v>
      </c>
      <c r="H690">
        <v>2316.92</v>
      </c>
      <c r="I690">
        <v>2462.63</v>
      </c>
      <c r="J690" t="s">
        <v>30</v>
      </c>
      <c r="K690">
        <v>0.04</v>
      </c>
      <c r="L690" t="s">
        <v>31</v>
      </c>
      <c r="M690" t="s">
        <v>19</v>
      </c>
      <c r="N690" t="s">
        <v>45</v>
      </c>
      <c r="O690" t="str">
        <f t="shared" si="50"/>
        <v>Apr</v>
      </c>
      <c r="P690" t="str">
        <f t="shared" si="51"/>
        <v>Monday</v>
      </c>
      <c r="Q690">
        <f t="shared" si="52"/>
        <v>106763.67359999999</v>
      </c>
      <c r="R690">
        <f t="shared" si="53"/>
        <v>6994.0800000000017</v>
      </c>
      <c r="S690">
        <f t="shared" si="54"/>
        <v>6714.3168000000014</v>
      </c>
    </row>
    <row r="691" spans="1:19"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c r="O691" t="str">
        <f t="shared" si="50"/>
        <v>Feb</v>
      </c>
      <c r="P691" t="str">
        <f t="shared" si="51"/>
        <v>Thursday</v>
      </c>
      <c r="Q691">
        <f t="shared" si="52"/>
        <v>31822.937999999998</v>
      </c>
      <c r="R691">
        <f t="shared" si="53"/>
        <v>844.80000000000018</v>
      </c>
      <c r="S691">
        <f t="shared" si="54"/>
        <v>667.39200000000017</v>
      </c>
    </row>
    <row r="692" spans="1:19"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c r="O692" t="str">
        <f t="shared" si="50"/>
        <v>Oct</v>
      </c>
      <c r="P692" t="str">
        <f t="shared" si="51"/>
        <v>Saturday</v>
      </c>
      <c r="Q692">
        <f t="shared" si="52"/>
        <v>62192.430299999985</v>
      </c>
      <c r="R692">
        <f t="shared" si="53"/>
        <v>13881.269999999622</v>
      </c>
      <c r="S692">
        <f t="shared" si="54"/>
        <v>10133.327099999724</v>
      </c>
    </row>
    <row r="693" spans="1:19" x14ac:dyDescent="0.3">
      <c r="A693">
        <v>1074</v>
      </c>
      <c r="B693" s="1">
        <v>45150</v>
      </c>
      <c r="C693" t="s">
        <v>14</v>
      </c>
      <c r="D693" t="s">
        <v>34</v>
      </c>
      <c r="E693">
        <v>6011.84</v>
      </c>
      <c r="F693">
        <v>2</v>
      </c>
      <c r="G693" t="s">
        <v>26</v>
      </c>
      <c r="H693">
        <v>2868.02</v>
      </c>
      <c r="I693">
        <v>2994.74</v>
      </c>
      <c r="J693" t="s">
        <v>17</v>
      </c>
      <c r="K693">
        <v>0.18</v>
      </c>
      <c r="L693" t="s">
        <v>27</v>
      </c>
      <c r="M693" t="s">
        <v>19</v>
      </c>
      <c r="N693" t="s">
        <v>46</v>
      </c>
      <c r="O693" t="str">
        <f t="shared" si="50"/>
        <v>Aug</v>
      </c>
      <c r="P693" t="str">
        <f t="shared" si="51"/>
        <v>Saturday</v>
      </c>
      <c r="Q693">
        <f t="shared" si="52"/>
        <v>4703.5528000000004</v>
      </c>
      <c r="R693">
        <f t="shared" si="53"/>
        <v>253.4399999999996</v>
      </c>
      <c r="S693">
        <f t="shared" si="54"/>
        <v>207.82079999999968</v>
      </c>
    </row>
    <row r="694" spans="1:19" x14ac:dyDescent="0.3">
      <c r="A694">
        <v>1090</v>
      </c>
      <c r="B694" s="1">
        <v>45244</v>
      </c>
      <c r="C694" t="s">
        <v>14</v>
      </c>
      <c r="D694" t="s">
        <v>34</v>
      </c>
      <c r="E694">
        <v>6575.91</v>
      </c>
      <c r="F694">
        <v>1</v>
      </c>
      <c r="G694" t="s">
        <v>29</v>
      </c>
      <c r="H694">
        <v>60.28</v>
      </c>
      <c r="I694">
        <v>260.73</v>
      </c>
      <c r="J694" t="s">
        <v>17</v>
      </c>
      <c r="K694">
        <v>0.17</v>
      </c>
      <c r="L694" t="s">
        <v>18</v>
      </c>
      <c r="M694" t="s">
        <v>19</v>
      </c>
      <c r="N694" t="s">
        <v>46</v>
      </c>
      <c r="O694" t="str">
        <f t="shared" si="50"/>
        <v>Nov</v>
      </c>
      <c r="P694" t="str">
        <f t="shared" si="51"/>
        <v>Tuesday</v>
      </c>
      <c r="Q694">
        <f t="shared" si="52"/>
        <v>50.032399999999996</v>
      </c>
      <c r="R694">
        <f t="shared" si="53"/>
        <v>200.45000000000002</v>
      </c>
      <c r="S694">
        <f t="shared" si="54"/>
        <v>166.37350000000001</v>
      </c>
    </row>
    <row r="695" spans="1:19"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c r="O695" t="str">
        <f t="shared" si="50"/>
        <v>Dec</v>
      </c>
      <c r="P695" t="str">
        <f t="shared" si="51"/>
        <v>Friday</v>
      </c>
      <c r="Q695">
        <f t="shared" si="52"/>
        <v>34263.435599999997</v>
      </c>
      <c r="R695">
        <f t="shared" si="53"/>
        <v>8186.7600000000029</v>
      </c>
      <c r="S695">
        <f t="shared" si="54"/>
        <v>5812.5996000000014</v>
      </c>
    </row>
    <row r="696" spans="1:19" x14ac:dyDescent="0.3">
      <c r="A696">
        <v>1039</v>
      </c>
      <c r="B696" s="1">
        <v>45041</v>
      </c>
      <c r="C696" t="s">
        <v>42</v>
      </c>
      <c r="D696" t="s">
        <v>34</v>
      </c>
      <c r="E696">
        <v>5830.19</v>
      </c>
      <c r="F696">
        <v>24</v>
      </c>
      <c r="G696" t="s">
        <v>29</v>
      </c>
      <c r="H696">
        <v>2615.48</v>
      </c>
      <c r="I696">
        <v>3062.22</v>
      </c>
      <c r="J696" t="s">
        <v>30</v>
      </c>
      <c r="K696">
        <v>0.19</v>
      </c>
      <c r="L696" t="s">
        <v>27</v>
      </c>
      <c r="M696" t="s">
        <v>22</v>
      </c>
      <c r="N696" t="s">
        <v>52</v>
      </c>
      <c r="O696" t="str">
        <f t="shared" si="50"/>
        <v>Apr</v>
      </c>
      <c r="P696" t="str">
        <f t="shared" si="51"/>
        <v>Tuesday</v>
      </c>
      <c r="Q696">
        <f t="shared" si="52"/>
        <v>50844.931200000006</v>
      </c>
      <c r="R696">
        <f t="shared" si="53"/>
        <v>10721.759999999995</v>
      </c>
      <c r="S696">
        <f t="shared" si="54"/>
        <v>8684.6255999999958</v>
      </c>
    </row>
    <row r="697" spans="1:19" x14ac:dyDescent="0.3">
      <c r="A697">
        <v>1067</v>
      </c>
      <c r="B697" s="1">
        <v>45112</v>
      </c>
      <c r="C697" t="s">
        <v>42</v>
      </c>
      <c r="D697" t="s">
        <v>21</v>
      </c>
      <c r="E697">
        <v>6360.67</v>
      </c>
      <c r="F697">
        <v>27</v>
      </c>
      <c r="G697" t="s">
        <v>16</v>
      </c>
      <c r="H697">
        <v>3624.97</v>
      </c>
      <c r="I697">
        <v>3836.52</v>
      </c>
      <c r="J697" t="s">
        <v>30</v>
      </c>
      <c r="K697">
        <v>0.08</v>
      </c>
      <c r="L697" t="s">
        <v>18</v>
      </c>
      <c r="M697" t="s">
        <v>19</v>
      </c>
      <c r="N697" t="s">
        <v>51</v>
      </c>
      <c r="O697" t="str">
        <f t="shared" si="50"/>
        <v>Jul</v>
      </c>
      <c r="P697" t="str">
        <f t="shared" si="51"/>
        <v>Wednesday</v>
      </c>
      <c r="Q697">
        <f t="shared" si="52"/>
        <v>90044.254799999995</v>
      </c>
      <c r="R697">
        <f t="shared" si="53"/>
        <v>5711.8500000000049</v>
      </c>
      <c r="S697">
        <f t="shared" si="54"/>
        <v>5254.9020000000046</v>
      </c>
    </row>
    <row r="698" spans="1:19" x14ac:dyDescent="0.3">
      <c r="A698">
        <v>1045</v>
      </c>
      <c r="B698" s="1">
        <v>45249</v>
      </c>
      <c r="C698" t="s">
        <v>14</v>
      </c>
      <c r="D698" t="s">
        <v>15</v>
      </c>
      <c r="E698">
        <v>1649.12</v>
      </c>
      <c r="F698">
        <v>2</v>
      </c>
      <c r="G698" t="s">
        <v>35</v>
      </c>
      <c r="H698">
        <v>912.08</v>
      </c>
      <c r="I698">
        <v>993.24</v>
      </c>
      <c r="J698" t="s">
        <v>17</v>
      </c>
      <c r="K698">
        <v>0.09</v>
      </c>
      <c r="L698" t="s">
        <v>31</v>
      </c>
      <c r="M698" t="s">
        <v>19</v>
      </c>
      <c r="N698" t="s">
        <v>20</v>
      </c>
      <c r="O698" t="str">
        <f t="shared" si="50"/>
        <v>Nov</v>
      </c>
      <c r="P698" t="str">
        <f t="shared" si="51"/>
        <v>Sunday</v>
      </c>
      <c r="Q698">
        <f t="shared" si="52"/>
        <v>1659.9856000000002</v>
      </c>
      <c r="R698">
        <f t="shared" si="53"/>
        <v>162.31999999999994</v>
      </c>
      <c r="S698">
        <f t="shared" si="54"/>
        <v>147.71119999999993</v>
      </c>
    </row>
    <row r="699" spans="1:19" x14ac:dyDescent="0.3">
      <c r="A699">
        <v>1013</v>
      </c>
      <c r="B699" s="1">
        <v>44982</v>
      </c>
      <c r="C699" t="s">
        <v>38</v>
      </c>
      <c r="D699" t="s">
        <v>34</v>
      </c>
      <c r="E699">
        <v>4791.82</v>
      </c>
      <c r="F699">
        <v>31</v>
      </c>
      <c r="G699" t="s">
        <v>26</v>
      </c>
      <c r="H699">
        <v>2757.06</v>
      </c>
      <c r="I699">
        <v>3023.97</v>
      </c>
      <c r="J699" t="s">
        <v>17</v>
      </c>
      <c r="K699">
        <v>0.21</v>
      </c>
      <c r="L699" t="s">
        <v>18</v>
      </c>
      <c r="M699" t="s">
        <v>19</v>
      </c>
      <c r="N699" t="s">
        <v>48</v>
      </c>
      <c r="O699" t="str">
        <f t="shared" si="50"/>
        <v>Feb</v>
      </c>
      <c r="P699" t="str">
        <f t="shared" si="51"/>
        <v>Saturday</v>
      </c>
      <c r="Q699">
        <f t="shared" si="52"/>
        <v>67520.399400000009</v>
      </c>
      <c r="R699">
        <f t="shared" si="53"/>
        <v>8274.2099999999955</v>
      </c>
      <c r="S699">
        <f t="shared" si="54"/>
        <v>6536.6258999999964</v>
      </c>
    </row>
    <row r="700" spans="1:19" x14ac:dyDescent="0.3">
      <c r="A700">
        <v>1092</v>
      </c>
      <c r="B700" s="1">
        <v>44966</v>
      </c>
      <c r="C700" t="s">
        <v>42</v>
      </c>
      <c r="D700" t="s">
        <v>25</v>
      </c>
      <c r="E700">
        <v>7192.33</v>
      </c>
      <c r="F700">
        <v>14</v>
      </c>
      <c r="G700" t="s">
        <v>29</v>
      </c>
      <c r="H700">
        <v>3586.58</v>
      </c>
      <c r="I700">
        <v>4068.43</v>
      </c>
      <c r="J700" t="s">
        <v>30</v>
      </c>
      <c r="K700">
        <v>0.22</v>
      </c>
      <c r="L700" t="s">
        <v>31</v>
      </c>
      <c r="M700" t="s">
        <v>19</v>
      </c>
      <c r="N700" t="s">
        <v>43</v>
      </c>
      <c r="O700" t="str">
        <f t="shared" si="50"/>
        <v>Feb</v>
      </c>
      <c r="P700" t="str">
        <f t="shared" si="51"/>
        <v>Thursday</v>
      </c>
      <c r="Q700">
        <f t="shared" si="52"/>
        <v>39165.453600000001</v>
      </c>
      <c r="R700">
        <f t="shared" si="53"/>
        <v>6745.8999999999987</v>
      </c>
      <c r="S700">
        <f t="shared" si="54"/>
        <v>5261.8019999999988</v>
      </c>
    </row>
    <row r="701" spans="1:19"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c r="O701" t="str">
        <f t="shared" si="50"/>
        <v>Dec</v>
      </c>
      <c r="P701" t="str">
        <f t="shared" si="51"/>
        <v>Wednesday</v>
      </c>
      <c r="Q701">
        <f t="shared" si="52"/>
        <v>4096.6561999999994</v>
      </c>
      <c r="R701">
        <f t="shared" si="53"/>
        <v>615.54</v>
      </c>
      <c r="S701">
        <f t="shared" si="54"/>
        <v>560.14139999999998</v>
      </c>
    </row>
    <row r="702" spans="1:19" x14ac:dyDescent="0.3">
      <c r="A702">
        <v>1020</v>
      </c>
      <c r="B702" s="1">
        <v>44966</v>
      </c>
      <c r="C702" t="s">
        <v>33</v>
      </c>
      <c r="D702" t="s">
        <v>34</v>
      </c>
      <c r="E702">
        <v>2102.3200000000002</v>
      </c>
      <c r="F702">
        <v>29</v>
      </c>
      <c r="G702" t="s">
        <v>35</v>
      </c>
      <c r="H702">
        <v>184.05</v>
      </c>
      <c r="I702">
        <v>675.91</v>
      </c>
      <c r="J702" t="s">
        <v>17</v>
      </c>
      <c r="K702">
        <v>0.1</v>
      </c>
      <c r="L702" t="s">
        <v>18</v>
      </c>
      <c r="M702" t="s">
        <v>22</v>
      </c>
      <c r="N702" t="s">
        <v>36</v>
      </c>
      <c r="O702" t="str">
        <f t="shared" si="50"/>
        <v>Feb</v>
      </c>
      <c r="P702" t="str">
        <f t="shared" si="51"/>
        <v>Thursday</v>
      </c>
      <c r="Q702">
        <f t="shared" si="52"/>
        <v>4803.7050000000008</v>
      </c>
      <c r="R702">
        <f t="shared" si="53"/>
        <v>14263.939999999999</v>
      </c>
      <c r="S702">
        <f t="shared" si="54"/>
        <v>12837.545999999998</v>
      </c>
    </row>
    <row r="703" spans="1:19" x14ac:dyDescent="0.3">
      <c r="A703">
        <v>1092</v>
      </c>
      <c r="B703" s="1">
        <v>45273</v>
      </c>
      <c r="C703" t="s">
        <v>33</v>
      </c>
      <c r="D703" t="s">
        <v>15</v>
      </c>
      <c r="E703">
        <v>3206.89</v>
      </c>
      <c r="F703">
        <v>15</v>
      </c>
      <c r="G703" t="s">
        <v>29</v>
      </c>
      <c r="H703">
        <v>2273.88</v>
      </c>
      <c r="I703">
        <v>2696.02</v>
      </c>
      <c r="J703" t="s">
        <v>30</v>
      </c>
      <c r="K703">
        <v>0.3</v>
      </c>
      <c r="L703" t="s">
        <v>18</v>
      </c>
      <c r="M703" t="s">
        <v>19</v>
      </c>
      <c r="N703" t="s">
        <v>53</v>
      </c>
      <c r="O703" t="str">
        <f t="shared" si="50"/>
        <v>Dec</v>
      </c>
      <c r="P703" t="str">
        <f t="shared" si="51"/>
        <v>Wednesday</v>
      </c>
      <c r="Q703">
        <f t="shared" si="52"/>
        <v>23875.74</v>
      </c>
      <c r="R703">
        <f t="shared" si="53"/>
        <v>6332.0999999999985</v>
      </c>
      <c r="S703">
        <f t="shared" si="54"/>
        <v>4432.4699999999984</v>
      </c>
    </row>
    <row r="704" spans="1:19" x14ac:dyDescent="0.3">
      <c r="A704">
        <v>1072</v>
      </c>
      <c r="B704" s="1">
        <v>45163</v>
      </c>
      <c r="C704" t="s">
        <v>33</v>
      </c>
      <c r="D704" t="s">
        <v>25</v>
      </c>
      <c r="E704">
        <v>2490.86</v>
      </c>
      <c r="F704">
        <v>12</v>
      </c>
      <c r="G704" t="s">
        <v>26</v>
      </c>
      <c r="H704">
        <v>1517.4</v>
      </c>
      <c r="I704">
        <v>1545.02</v>
      </c>
      <c r="J704" t="s">
        <v>30</v>
      </c>
      <c r="K704">
        <v>0.03</v>
      </c>
      <c r="L704" t="s">
        <v>27</v>
      </c>
      <c r="M704" t="s">
        <v>22</v>
      </c>
      <c r="N704" t="s">
        <v>44</v>
      </c>
      <c r="O704" t="str">
        <f t="shared" si="50"/>
        <v>Aug</v>
      </c>
      <c r="P704" t="str">
        <f t="shared" si="51"/>
        <v>Friday</v>
      </c>
      <c r="Q704">
        <f t="shared" si="52"/>
        <v>17662.536000000004</v>
      </c>
      <c r="R704">
        <f t="shared" si="53"/>
        <v>331.43999999999869</v>
      </c>
      <c r="S704">
        <f t="shared" si="54"/>
        <v>321.4967999999987</v>
      </c>
    </row>
    <row r="705" spans="1:19"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c r="O705" t="str">
        <f t="shared" si="50"/>
        <v>Oct</v>
      </c>
      <c r="P705" t="str">
        <f t="shared" si="51"/>
        <v>Monday</v>
      </c>
      <c r="Q705">
        <f t="shared" si="52"/>
        <v>151461.63120000003</v>
      </c>
      <c r="R705">
        <f t="shared" si="53"/>
        <v>12306.939999999995</v>
      </c>
      <c r="S705">
        <f t="shared" si="54"/>
        <v>10830.107199999995</v>
      </c>
    </row>
    <row r="706" spans="1:19" x14ac:dyDescent="0.3">
      <c r="A706">
        <v>1039</v>
      </c>
      <c r="B706" s="1">
        <v>45188</v>
      </c>
      <c r="C706" t="s">
        <v>14</v>
      </c>
      <c r="D706" t="s">
        <v>25</v>
      </c>
      <c r="E706">
        <v>4306.0200000000004</v>
      </c>
      <c r="F706">
        <v>28</v>
      </c>
      <c r="G706" t="s">
        <v>29</v>
      </c>
      <c r="H706">
        <v>666.84</v>
      </c>
      <c r="I706">
        <v>817.36</v>
      </c>
      <c r="J706" t="s">
        <v>17</v>
      </c>
      <c r="K706">
        <v>0.02</v>
      </c>
      <c r="L706" t="s">
        <v>18</v>
      </c>
      <c r="M706" t="s">
        <v>22</v>
      </c>
      <c r="N706" t="s">
        <v>32</v>
      </c>
      <c r="O706" t="str">
        <f t="shared" si="50"/>
        <v>Sep</v>
      </c>
      <c r="P706" t="str">
        <f t="shared" si="51"/>
        <v>Tuesday</v>
      </c>
      <c r="Q706">
        <f t="shared" si="52"/>
        <v>18298.089599999999</v>
      </c>
      <c r="R706">
        <f t="shared" si="53"/>
        <v>4214.5599999999995</v>
      </c>
      <c r="S706">
        <f t="shared" si="54"/>
        <v>4130.2687999999998</v>
      </c>
    </row>
    <row r="707" spans="1:19" x14ac:dyDescent="0.3">
      <c r="A707">
        <v>1001</v>
      </c>
      <c r="B707" s="1">
        <v>45142</v>
      </c>
      <c r="C707" t="s">
        <v>24</v>
      </c>
      <c r="D707" t="s">
        <v>21</v>
      </c>
      <c r="E707">
        <v>9087.6</v>
      </c>
      <c r="F707">
        <v>20</v>
      </c>
      <c r="G707" t="s">
        <v>26</v>
      </c>
      <c r="H707">
        <v>3279.76</v>
      </c>
      <c r="I707">
        <v>3563.97</v>
      </c>
      <c r="J707" t="s">
        <v>17</v>
      </c>
      <c r="K707">
        <v>0.25</v>
      </c>
      <c r="L707" t="s">
        <v>18</v>
      </c>
      <c r="M707" t="s">
        <v>22</v>
      </c>
      <c r="N707" t="s">
        <v>47</v>
      </c>
      <c r="O707" t="str">
        <f t="shared" ref="O707:O770" si="55">TEXT(B707,"mmm")</f>
        <v>Aug</v>
      </c>
      <c r="P707" t="str">
        <f t="shared" ref="P707:P770" si="56">TEXT(B707,"dddd")</f>
        <v>Friday</v>
      </c>
      <c r="Q707">
        <f t="shared" ref="Q707:Q770" si="57">(F707*H707)*(1-K707)</f>
        <v>49196.400000000009</v>
      </c>
      <c r="R707">
        <f t="shared" ref="R707:R770" si="58">(I707-H707)*F707</f>
        <v>5684.1999999999916</v>
      </c>
      <c r="S707">
        <f t="shared" ref="S707:S770" si="59">((I707-H707)*F707)*(1-K707)</f>
        <v>4263.1499999999942</v>
      </c>
    </row>
    <row r="708" spans="1:19"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c r="O708" t="str">
        <f t="shared" si="55"/>
        <v>May</v>
      </c>
      <c r="P708" t="str">
        <f t="shared" si="56"/>
        <v>Saturday</v>
      </c>
      <c r="Q708">
        <f t="shared" si="57"/>
        <v>11763.616799999998</v>
      </c>
      <c r="R708">
        <f t="shared" si="58"/>
        <v>5728.32</v>
      </c>
      <c r="S708">
        <f t="shared" si="59"/>
        <v>5556.4703999999992</v>
      </c>
    </row>
    <row r="709" spans="1:19"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c r="O709" t="str">
        <f t="shared" si="55"/>
        <v>Dec</v>
      </c>
      <c r="P709" t="str">
        <f t="shared" si="56"/>
        <v>Saturday</v>
      </c>
      <c r="Q709">
        <f t="shared" si="57"/>
        <v>43363.968000000001</v>
      </c>
      <c r="R709">
        <f t="shared" si="58"/>
        <v>4342.7999999999956</v>
      </c>
      <c r="S709">
        <f t="shared" si="59"/>
        <v>3474.2399999999966</v>
      </c>
    </row>
    <row r="710" spans="1:19" x14ac:dyDescent="0.3">
      <c r="A710">
        <v>1092</v>
      </c>
      <c r="B710" s="1">
        <v>45094</v>
      </c>
      <c r="C710" t="s">
        <v>24</v>
      </c>
      <c r="D710" t="s">
        <v>34</v>
      </c>
      <c r="E710">
        <v>862.02</v>
      </c>
      <c r="F710">
        <v>21</v>
      </c>
      <c r="G710" t="s">
        <v>29</v>
      </c>
      <c r="H710">
        <v>2792.2</v>
      </c>
      <c r="I710">
        <v>3254.5499999999902</v>
      </c>
      <c r="J710" t="s">
        <v>30</v>
      </c>
      <c r="K710">
        <v>0.02</v>
      </c>
      <c r="L710" t="s">
        <v>31</v>
      </c>
      <c r="M710" t="s">
        <v>22</v>
      </c>
      <c r="N710" t="s">
        <v>50</v>
      </c>
      <c r="O710" t="str">
        <f t="shared" si="55"/>
        <v>Jun</v>
      </c>
      <c r="P710" t="str">
        <f t="shared" si="56"/>
        <v>Saturday</v>
      </c>
      <c r="Q710">
        <f t="shared" si="57"/>
        <v>57463.475999999995</v>
      </c>
      <c r="R710">
        <f t="shared" si="58"/>
        <v>9709.3499999997985</v>
      </c>
      <c r="S710">
        <f t="shared" si="59"/>
        <v>9515.1629999998022</v>
      </c>
    </row>
    <row r="711" spans="1:19" x14ac:dyDescent="0.3">
      <c r="A711">
        <v>1062</v>
      </c>
      <c r="B711" s="1">
        <v>45018</v>
      </c>
      <c r="C711" t="s">
        <v>14</v>
      </c>
      <c r="D711" t="s">
        <v>34</v>
      </c>
      <c r="E711">
        <v>6991.95</v>
      </c>
      <c r="F711">
        <v>10</v>
      </c>
      <c r="G711" t="s">
        <v>29</v>
      </c>
      <c r="H711">
        <v>1524.88</v>
      </c>
      <c r="I711">
        <v>1636.14</v>
      </c>
      <c r="J711" t="s">
        <v>30</v>
      </c>
      <c r="K711">
        <v>0.2</v>
      </c>
      <c r="L711" t="s">
        <v>27</v>
      </c>
      <c r="M711" t="s">
        <v>19</v>
      </c>
      <c r="N711" t="s">
        <v>46</v>
      </c>
      <c r="O711" t="str">
        <f t="shared" si="55"/>
        <v>Apr</v>
      </c>
      <c r="P711" t="str">
        <f t="shared" si="56"/>
        <v>Sunday</v>
      </c>
      <c r="Q711">
        <f t="shared" si="57"/>
        <v>12199.04</v>
      </c>
      <c r="R711">
        <f t="shared" si="58"/>
        <v>1112.5999999999999</v>
      </c>
      <c r="S711">
        <f t="shared" si="59"/>
        <v>890.07999999999993</v>
      </c>
    </row>
    <row r="712" spans="1:19" x14ac:dyDescent="0.3">
      <c r="A712">
        <v>1063</v>
      </c>
      <c r="B712" s="1">
        <v>45279</v>
      </c>
      <c r="C712" t="s">
        <v>33</v>
      </c>
      <c r="D712" t="s">
        <v>21</v>
      </c>
      <c r="E712">
        <v>3889.71</v>
      </c>
      <c r="F712">
        <v>46</v>
      </c>
      <c r="G712" t="s">
        <v>16</v>
      </c>
      <c r="H712">
        <v>2302.62</v>
      </c>
      <c r="I712">
        <v>2740.93</v>
      </c>
      <c r="J712" t="s">
        <v>17</v>
      </c>
      <c r="K712">
        <v>0.25</v>
      </c>
      <c r="L712" t="s">
        <v>27</v>
      </c>
      <c r="M712" t="s">
        <v>19</v>
      </c>
      <c r="N712" t="s">
        <v>37</v>
      </c>
      <c r="O712" t="str">
        <f t="shared" si="55"/>
        <v>Dec</v>
      </c>
      <c r="P712" t="str">
        <f t="shared" si="56"/>
        <v>Tuesday</v>
      </c>
      <c r="Q712">
        <f t="shared" si="57"/>
        <v>79440.389999999985</v>
      </c>
      <c r="R712">
        <f t="shared" si="58"/>
        <v>20162.259999999998</v>
      </c>
      <c r="S712">
        <f t="shared" si="59"/>
        <v>15121.695</v>
      </c>
    </row>
    <row r="713" spans="1:19" x14ac:dyDescent="0.3">
      <c r="A713">
        <v>1025</v>
      </c>
      <c r="B713" s="1">
        <v>44985</v>
      </c>
      <c r="C713" t="s">
        <v>14</v>
      </c>
      <c r="D713" t="s">
        <v>34</v>
      </c>
      <c r="E713">
        <v>8236.1299999999992</v>
      </c>
      <c r="F713">
        <v>14</v>
      </c>
      <c r="G713" t="s">
        <v>35</v>
      </c>
      <c r="H713">
        <v>859.59</v>
      </c>
      <c r="I713">
        <v>884.51</v>
      </c>
      <c r="J713" t="s">
        <v>30</v>
      </c>
      <c r="K713">
        <v>0.12</v>
      </c>
      <c r="L713" t="s">
        <v>27</v>
      </c>
      <c r="M713" t="s">
        <v>19</v>
      </c>
      <c r="N713" t="s">
        <v>46</v>
      </c>
      <c r="O713" t="str">
        <f t="shared" si="55"/>
        <v>Feb</v>
      </c>
      <c r="P713" t="str">
        <f t="shared" si="56"/>
        <v>Tuesday</v>
      </c>
      <c r="Q713">
        <f t="shared" si="57"/>
        <v>10590.148800000001</v>
      </c>
      <c r="R713">
        <f t="shared" si="58"/>
        <v>348.87999999999943</v>
      </c>
      <c r="S713">
        <f t="shared" si="59"/>
        <v>307.01439999999951</v>
      </c>
    </row>
    <row r="714" spans="1:19" x14ac:dyDescent="0.3">
      <c r="A714">
        <v>1056</v>
      </c>
      <c r="B714" s="1">
        <v>44985</v>
      </c>
      <c r="C714" t="s">
        <v>38</v>
      </c>
      <c r="D714" t="s">
        <v>15</v>
      </c>
      <c r="E714">
        <v>6629.16</v>
      </c>
      <c r="F714">
        <v>37</v>
      </c>
      <c r="G714" t="s">
        <v>35</v>
      </c>
      <c r="H714">
        <v>1555.41</v>
      </c>
      <c r="I714">
        <v>1609.94</v>
      </c>
      <c r="J714" t="s">
        <v>17</v>
      </c>
      <c r="K714">
        <v>0.16</v>
      </c>
      <c r="L714" t="s">
        <v>31</v>
      </c>
      <c r="M714" t="s">
        <v>19</v>
      </c>
      <c r="N714" t="s">
        <v>40</v>
      </c>
      <c r="O714" t="str">
        <f t="shared" si="55"/>
        <v>Feb</v>
      </c>
      <c r="P714" t="str">
        <f t="shared" si="56"/>
        <v>Tuesday</v>
      </c>
      <c r="Q714">
        <f t="shared" si="57"/>
        <v>48342.142800000001</v>
      </c>
      <c r="R714">
        <f t="shared" si="58"/>
        <v>2017.609999999999</v>
      </c>
      <c r="S714">
        <f t="shared" si="59"/>
        <v>1694.7923999999991</v>
      </c>
    </row>
    <row r="715" spans="1:19" x14ac:dyDescent="0.3">
      <c r="A715">
        <v>1033</v>
      </c>
      <c r="B715" s="1">
        <v>45230</v>
      </c>
      <c r="C715" t="s">
        <v>38</v>
      </c>
      <c r="D715" t="s">
        <v>34</v>
      </c>
      <c r="E715">
        <v>7982.79</v>
      </c>
      <c r="F715">
        <v>18</v>
      </c>
      <c r="G715" t="s">
        <v>16</v>
      </c>
      <c r="H715">
        <v>3124.48</v>
      </c>
      <c r="I715">
        <v>3553.27</v>
      </c>
      <c r="J715" t="s">
        <v>17</v>
      </c>
      <c r="K715">
        <v>0.12</v>
      </c>
      <c r="L715" t="s">
        <v>18</v>
      </c>
      <c r="M715" t="s">
        <v>22</v>
      </c>
      <c r="N715" t="s">
        <v>48</v>
      </c>
      <c r="O715" t="str">
        <f t="shared" si="55"/>
        <v>Oct</v>
      </c>
      <c r="P715" t="str">
        <f t="shared" si="56"/>
        <v>Tuesday</v>
      </c>
      <c r="Q715">
        <f t="shared" si="57"/>
        <v>49491.763200000001</v>
      </c>
      <c r="R715">
        <f t="shared" si="58"/>
        <v>7718.2199999999993</v>
      </c>
      <c r="S715">
        <f t="shared" si="59"/>
        <v>6792.0335999999998</v>
      </c>
    </row>
    <row r="716" spans="1:19" x14ac:dyDescent="0.3">
      <c r="A716">
        <v>1038</v>
      </c>
      <c r="B716" s="1">
        <v>45095</v>
      </c>
      <c r="C716" t="s">
        <v>38</v>
      </c>
      <c r="D716" t="s">
        <v>21</v>
      </c>
      <c r="E716">
        <v>2792.27</v>
      </c>
      <c r="F716">
        <v>24</v>
      </c>
      <c r="G716" t="s">
        <v>29</v>
      </c>
      <c r="H716">
        <v>1543.91</v>
      </c>
      <c r="I716">
        <v>1862.88</v>
      </c>
      <c r="J716" t="s">
        <v>30</v>
      </c>
      <c r="K716">
        <v>0.09</v>
      </c>
      <c r="L716" t="s">
        <v>27</v>
      </c>
      <c r="M716" t="s">
        <v>19</v>
      </c>
      <c r="N716" t="s">
        <v>41</v>
      </c>
      <c r="O716" t="str">
        <f t="shared" si="55"/>
        <v>Jun</v>
      </c>
      <c r="P716" t="str">
        <f t="shared" si="56"/>
        <v>Sunday</v>
      </c>
      <c r="Q716">
        <f t="shared" si="57"/>
        <v>33718.994400000003</v>
      </c>
      <c r="R716">
        <f t="shared" si="58"/>
        <v>7655.2800000000007</v>
      </c>
      <c r="S716">
        <f t="shared" si="59"/>
        <v>6966.3048000000008</v>
      </c>
    </row>
    <row r="717" spans="1:19"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c r="O717" t="str">
        <f t="shared" si="55"/>
        <v>Sep</v>
      </c>
      <c r="P717" t="str">
        <f t="shared" si="56"/>
        <v>Tuesday</v>
      </c>
      <c r="Q717">
        <f t="shared" si="57"/>
        <v>47919.687199999993</v>
      </c>
      <c r="R717">
        <f t="shared" si="58"/>
        <v>5266.0999999998676</v>
      </c>
      <c r="S717">
        <f t="shared" si="59"/>
        <v>4002.2359999998994</v>
      </c>
    </row>
    <row r="718" spans="1:19" x14ac:dyDescent="0.3">
      <c r="A718">
        <v>1058</v>
      </c>
      <c r="B718" s="1">
        <v>45289</v>
      </c>
      <c r="C718" t="s">
        <v>24</v>
      </c>
      <c r="D718" t="s">
        <v>15</v>
      </c>
      <c r="E718">
        <v>2714.21</v>
      </c>
      <c r="F718">
        <v>34</v>
      </c>
      <c r="G718" t="s">
        <v>35</v>
      </c>
      <c r="H718">
        <v>3160.61</v>
      </c>
      <c r="I718">
        <v>3273.22</v>
      </c>
      <c r="J718" t="s">
        <v>17</v>
      </c>
      <c r="K718">
        <v>0.08</v>
      </c>
      <c r="L718" t="s">
        <v>31</v>
      </c>
      <c r="M718" t="s">
        <v>22</v>
      </c>
      <c r="N718" t="s">
        <v>45</v>
      </c>
      <c r="O718" t="str">
        <f t="shared" si="55"/>
        <v>Dec</v>
      </c>
      <c r="P718" t="str">
        <f t="shared" si="56"/>
        <v>Friday</v>
      </c>
      <c r="Q718">
        <f t="shared" si="57"/>
        <v>98863.880800000014</v>
      </c>
      <c r="R718">
        <f t="shared" si="58"/>
        <v>3828.7399999999889</v>
      </c>
      <c r="S718">
        <f t="shared" si="59"/>
        <v>3522.4407999999898</v>
      </c>
    </row>
    <row r="719" spans="1:19"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c r="O719" t="str">
        <f t="shared" si="55"/>
        <v>Feb</v>
      </c>
      <c r="P719" t="str">
        <f t="shared" si="56"/>
        <v>Tuesday</v>
      </c>
      <c r="Q719">
        <f t="shared" si="57"/>
        <v>20791.461600000002</v>
      </c>
      <c r="R719">
        <f t="shared" si="58"/>
        <v>3278.0400000000009</v>
      </c>
      <c r="S719">
        <f t="shared" si="59"/>
        <v>2556.871200000001</v>
      </c>
    </row>
    <row r="720" spans="1:19" x14ac:dyDescent="0.3">
      <c r="A720">
        <v>1045</v>
      </c>
      <c r="B720" s="1">
        <v>45271</v>
      </c>
      <c r="C720" t="s">
        <v>42</v>
      </c>
      <c r="D720" t="s">
        <v>21</v>
      </c>
      <c r="E720">
        <v>6400.11</v>
      </c>
      <c r="F720">
        <v>22</v>
      </c>
      <c r="G720" t="s">
        <v>29</v>
      </c>
      <c r="H720">
        <v>241.85</v>
      </c>
      <c r="I720">
        <v>613.09</v>
      </c>
      <c r="J720" t="s">
        <v>17</v>
      </c>
      <c r="K720">
        <v>0.06</v>
      </c>
      <c r="L720" t="s">
        <v>18</v>
      </c>
      <c r="M720" t="s">
        <v>19</v>
      </c>
      <c r="N720" t="s">
        <v>51</v>
      </c>
      <c r="O720" t="str">
        <f t="shared" si="55"/>
        <v>Dec</v>
      </c>
      <c r="P720" t="str">
        <f t="shared" si="56"/>
        <v>Monday</v>
      </c>
      <c r="Q720">
        <f t="shared" si="57"/>
        <v>5001.4579999999996</v>
      </c>
      <c r="R720">
        <f t="shared" si="58"/>
        <v>8167.2800000000007</v>
      </c>
      <c r="S720">
        <f t="shared" si="59"/>
        <v>7677.2431999999999</v>
      </c>
    </row>
    <row r="721" spans="1:19"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c r="O721" t="str">
        <f t="shared" si="55"/>
        <v>Jun</v>
      </c>
      <c r="P721" t="str">
        <f t="shared" si="56"/>
        <v>Friday</v>
      </c>
      <c r="Q721">
        <f t="shared" si="57"/>
        <v>14077.0008</v>
      </c>
      <c r="R721">
        <f t="shared" si="58"/>
        <v>1904.2799999999979</v>
      </c>
      <c r="S721">
        <f t="shared" si="59"/>
        <v>1770.9803999999979</v>
      </c>
    </row>
    <row r="722" spans="1:19" x14ac:dyDescent="0.3">
      <c r="A722">
        <v>1045</v>
      </c>
      <c r="B722" s="1">
        <v>45096</v>
      </c>
      <c r="C722" t="s">
        <v>24</v>
      </c>
      <c r="D722" t="s">
        <v>15</v>
      </c>
      <c r="E722">
        <v>2768.17</v>
      </c>
      <c r="F722">
        <v>36</v>
      </c>
      <c r="G722" t="s">
        <v>35</v>
      </c>
      <c r="H722">
        <v>3835.64</v>
      </c>
      <c r="I722">
        <v>4076.77</v>
      </c>
      <c r="J722" t="s">
        <v>17</v>
      </c>
      <c r="K722">
        <v>0.1</v>
      </c>
      <c r="L722" t="s">
        <v>31</v>
      </c>
      <c r="M722" t="s">
        <v>22</v>
      </c>
      <c r="N722" t="s">
        <v>45</v>
      </c>
      <c r="O722" t="str">
        <f t="shared" si="55"/>
        <v>Jun</v>
      </c>
      <c r="P722" t="str">
        <f t="shared" si="56"/>
        <v>Monday</v>
      </c>
      <c r="Q722">
        <f t="shared" si="57"/>
        <v>124274.736</v>
      </c>
      <c r="R722">
        <f t="shared" si="58"/>
        <v>8680.6800000000039</v>
      </c>
      <c r="S722">
        <f t="shared" si="59"/>
        <v>7812.6120000000037</v>
      </c>
    </row>
    <row r="723" spans="1:19" x14ac:dyDescent="0.3">
      <c r="A723">
        <v>1061</v>
      </c>
      <c r="B723" s="1">
        <v>45282</v>
      </c>
      <c r="C723" t="s">
        <v>42</v>
      </c>
      <c r="D723" t="s">
        <v>15</v>
      </c>
      <c r="E723">
        <v>1990.17</v>
      </c>
      <c r="F723">
        <v>45</v>
      </c>
      <c r="G723" t="s">
        <v>29</v>
      </c>
      <c r="H723">
        <v>1364.51</v>
      </c>
      <c r="I723">
        <v>1844.8</v>
      </c>
      <c r="J723" t="s">
        <v>17</v>
      </c>
      <c r="K723">
        <v>0.18</v>
      </c>
      <c r="L723" t="s">
        <v>18</v>
      </c>
      <c r="M723" t="s">
        <v>19</v>
      </c>
      <c r="N723" t="s">
        <v>49</v>
      </c>
      <c r="O723" t="str">
        <f t="shared" si="55"/>
        <v>Dec</v>
      </c>
      <c r="P723" t="str">
        <f t="shared" si="56"/>
        <v>Friday</v>
      </c>
      <c r="Q723">
        <f t="shared" si="57"/>
        <v>50350.419000000002</v>
      </c>
      <c r="R723">
        <f t="shared" si="58"/>
        <v>21613.05</v>
      </c>
      <c r="S723">
        <f t="shared" si="59"/>
        <v>17722.701000000001</v>
      </c>
    </row>
    <row r="724" spans="1:19"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c r="O724" t="str">
        <f t="shared" si="55"/>
        <v>Jul</v>
      </c>
      <c r="P724" t="str">
        <f t="shared" si="56"/>
        <v>Monday</v>
      </c>
      <c r="Q724">
        <f t="shared" si="57"/>
        <v>125187.68880000002</v>
      </c>
      <c r="R724">
        <f t="shared" si="58"/>
        <v>12287.520000000006</v>
      </c>
      <c r="S724">
        <f t="shared" si="59"/>
        <v>10567.267200000006</v>
      </c>
    </row>
    <row r="725" spans="1:19"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c r="O725" t="str">
        <f t="shared" si="55"/>
        <v>Jun</v>
      </c>
      <c r="P725" t="str">
        <f t="shared" si="56"/>
        <v>Sunday</v>
      </c>
      <c r="Q725">
        <f t="shared" si="57"/>
        <v>22246.910400000001</v>
      </c>
      <c r="R725">
        <f t="shared" si="58"/>
        <v>10005.599999999999</v>
      </c>
      <c r="S725">
        <f t="shared" si="59"/>
        <v>7804.3679999999995</v>
      </c>
    </row>
    <row r="726" spans="1:19" x14ac:dyDescent="0.3">
      <c r="A726">
        <v>1080</v>
      </c>
      <c r="B726" s="1">
        <v>45114</v>
      </c>
      <c r="C726" t="s">
        <v>33</v>
      </c>
      <c r="D726" t="s">
        <v>21</v>
      </c>
      <c r="E726">
        <v>5993.5</v>
      </c>
      <c r="F726">
        <v>14</v>
      </c>
      <c r="G726" t="s">
        <v>26</v>
      </c>
      <c r="H726">
        <v>4127.54</v>
      </c>
      <c r="I726">
        <v>4495.13</v>
      </c>
      <c r="J726" t="s">
        <v>30</v>
      </c>
      <c r="K726">
        <v>0.06</v>
      </c>
      <c r="L726" t="s">
        <v>27</v>
      </c>
      <c r="M726" t="s">
        <v>22</v>
      </c>
      <c r="N726" t="s">
        <v>37</v>
      </c>
      <c r="O726" t="str">
        <f t="shared" si="55"/>
        <v>Jul</v>
      </c>
      <c r="P726" t="str">
        <f t="shared" si="56"/>
        <v>Friday</v>
      </c>
      <c r="Q726">
        <f t="shared" si="57"/>
        <v>54318.426399999997</v>
      </c>
      <c r="R726">
        <f t="shared" si="58"/>
        <v>5146.260000000002</v>
      </c>
      <c r="S726">
        <f t="shared" si="59"/>
        <v>4837.4844000000012</v>
      </c>
    </row>
    <row r="727" spans="1:19" x14ac:dyDescent="0.3">
      <c r="A727">
        <v>1085</v>
      </c>
      <c r="B727" s="1">
        <v>44933</v>
      </c>
      <c r="C727" t="s">
        <v>38</v>
      </c>
      <c r="D727" t="s">
        <v>21</v>
      </c>
      <c r="E727">
        <v>2719.89</v>
      </c>
      <c r="F727">
        <v>16</v>
      </c>
      <c r="G727" t="s">
        <v>26</v>
      </c>
      <c r="H727">
        <v>472.08</v>
      </c>
      <c r="I727">
        <v>842.46</v>
      </c>
      <c r="J727" t="s">
        <v>30</v>
      </c>
      <c r="K727">
        <v>0</v>
      </c>
      <c r="L727" t="s">
        <v>18</v>
      </c>
      <c r="M727" t="s">
        <v>22</v>
      </c>
      <c r="N727" t="s">
        <v>41</v>
      </c>
      <c r="O727" t="str">
        <f t="shared" si="55"/>
        <v>Jan</v>
      </c>
      <c r="P727" t="str">
        <f t="shared" si="56"/>
        <v>Saturday</v>
      </c>
      <c r="Q727">
        <f t="shared" si="57"/>
        <v>7553.28</v>
      </c>
      <c r="R727">
        <f t="shared" si="58"/>
        <v>5926.0800000000008</v>
      </c>
      <c r="S727">
        <f t="shared" si="59"/>
        <v>5926.0800000000008</v>
      </c>
    </row>
    <row r="728" spans="1:19"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c r="O728" t="str">
        <f t="shared" si="55"/>
        <v>May</v>
      </c>
      <c r="P728" t="str">
        <f t="shared" si="56"/>
        <v>Saturday</v>
      </c>
      <c r="Q728">
        <f t="shared" si="57"/>
        <v>120238.54919999999</v>
      </c>
      <c r="R728">
        <f t="shared" si="58"/>
        <v>1771.5600000000013</v>
      </c>
      <c r="S728">
        <f t="shared" si="59"/>
        <v>1364.101200000001</v>
      </c>
    </row>
    <row r="729" spans="1:19"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c r="O729" t="str">
        <f t="shared" si="55"/>
        <v>Aug</v>
      </c>
      <c r="P729" t="str">
        <f t="shared" si="56"/>
        <v>Wednesday</v>
      </c>
      <c r="Q729">
        <f t="shared" si="57"/>
        <v>47268.187499999993</v>
      </c>
      <c r="R729">
        <f t="shared" si="58"/>
        <v>4653.4999999997581</v>
      </c>
      <c r="S729">
        <f t="shared" si="59"/>
        <v>3490.1249999998186</v>
      </c>
    </row>
    <row r="730" spans="1:19" x14ac:dyDescent="0.3">
      <c r="A730">
        <v>1099</v>
      </c>
      <c r="B730" s="1">
        <v>44971</v>
      </c>
      <c r="C730" t="s">
        <v>24</v>
      </c>
      <c r="D730" t="s">
        <v>25</v>
      </c>
      <c r="E730">
        <v>7802.45</v>
      </c>
      <c r="F730">
        <v>32</v>
      </c>
      <c r="G730" t="s">
        <v>29</v>
      </c>
      <c r="H730">
        <v>1517.86</v>
      </c>
      <c r="I730">
        <v>1948.46</v>
      </c>
      <c r="J730" t="s">
        <v>30</v>
      </c>
      <c r="K730">
        <v>0.02</v>
      </c>
      <c r="L730" t="s">
        <v>31</v>
      </c>
      <c r="M730" t="s">
        <v>19</v>
      </c>
      <c r="N730" t="s">
        <v>28</v>
      </c>
      <c r="O730" t="str">
        <f t="shared" si="55"/>
        <v>Feb</v>
      </c>
      <c r="P730" t="str">
        <f t="shared" si="56"/>
        <v>Tuesday</v>
      </c>
      <c r="Q730">
        <f t="shared" si="57"/>
        <v>47600.089599999999</v>
      </c>
      <c r="R730">
        <f t="shared" si="58"/>
        <v>13779.200000000004</v>
      </c>
      <c r="S730">
        <f t="shared" si="59"/>
        <v>13503.616000000004</v>
      </c>
    </row>
    <row r="731" spans="1:19" x14ac:dyDescent="0.3">
      <c r="A731">
        <v>1019</v>
      </c>
      <c r="B731" s="1">
        <v>45240</v>
      </c>
      <c r="C731" t="s">
        <v>14</v>
      </c>
      <c r="D731" t="s">
        <v>34</v>
      </c>
      <c r="E731">
        <v>7632.43</v>
      </c>
      <c r="F731">
        <v>33</v>
      </c>
      <c r="G731" t="s">
        <v>16</v>
      </c>
      <c r="H731">
        <v>1362.31</v>
      </c>
      <c r="I731">
        <v>1486.29</v>
      </c>
      <c r="J731" t="s">
        <v>17</v>
      </c>
      <c r="K731">
        <v>0.18</v>
      </c>
      <c r="L731" t="s">
        <v>31</v>
      </c>
      <c r="M731" t="s">
        <v>22</v>
      </c>
      <c r="N731" t="s">
        <v>46</v>
      </c>
      <c r="O731" t="str">
        <f t="shared" si="55"/>
        <v>Nov</v>
      </c>
      <c r="P731" t="str">
        <f t="shared" si="56"/>
        <v>Friday</v>
      </c>
      <c r="Q731">
        <f t="shared" si="57"/>
        <v>36864.1086</v>
      </c>
      <c r="R731">
        <f t="shared" si="58"/>
        <v>4091.3400000000006</v>
      </c>
      <c r="S731">
        <f t="shared" si="59"/>
        <v>3354.8988000000008</v>
      </c>
    </row>
    <row r="732" spans="1:19"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c r="O732" t="str">
        <f t="shared" si="55"/>
        <v>Sep</v>
      </c>
      <c r="P732" t="str">
        <f t="shared" si="56"/>
        <v>Wednesday</v>
      </c>
      <c r="Q732">
        <f t="shared" si="57"/>
        <v>87647.422499999986</v>
      </c>
      <c r="R732">
        <f t="shared" si="58"/>
        <v>2996.9999999995662</v>
      </c>
      <c r="S732">
        <f t="shared" si="59"/>
        <v>2667.3299999996138</v>
      </c>
    </row>
    <row r="733" spans="1:19" x14ac:dyDescent="0.3">
      <c r="A733">
        <v>1057</v>
      </c>
      <c r="B733" s="1">
        <v>44957</v>
      </c>
      <c r="C733" t="s">
        <v>33</v>
      </c>
      <c r="D733" t="s">
        <v>15</v>
      </c>
      <c r="E733">
        <v>975.01</v>
      </c>
      <c r="F733">
        <v>36</v>
      </c>
      <c r="G733" t="s">
        <v>26</v>
      </c>
      <c r="H733">
        <v>4995.3</v>
      </c>
      <c r="I733">
        <v>5165.09</v>
      </c>
      <c r="J733" t="s">
        <v>17</v>
      </c>
      <c r="K733">
        <v>0.24</v>
      </c>
      <c r="L733" t="s">
        <v>18</v>
      </c>
      <c r="M733" t="s">
        <v>19</v>
      </c>
      <c r="N733" t="s">
        <v>53</v>
      </c>
      <c r="O733" t="str">
        <f t="shared" si="55"/>
        <v>Jan</v>
      </c>
      <c r="P733" t="str">
        <f t="shared" si="56"/>
        <v>Tuesday</v>
      </c>
      <c r="Q733">
        <f t="shared" si="57"/>
        <v>136671.40800000002</v>
      </c>
      <c r="R733">
        <f t="shared" si="58"/>
        <v>6112.4399999999987</v>
      </c>
      <c r="S733">
        <f t="shared" si="59"/>
        <v>4645.4543999999987</v>
      </c>
    </row>
    <row r="734" spans="1:19"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c r="O734" t="str">
        <f t="shared" si="55"/>
        <v>Jan</v>
      </c>
      <c r="P734" t="str">
        <f t="shared" si="56"/>
        <v>Monday</v>
      </c>
      <c r="Q734">
        <f t="shared" si="57"/>
        <v>16881.175999999999</v>
      </c>
      <c r="R734">
        <f t="shared" si="58"/>
        <v>2360.1999999998043</v>
      </c>
      <c r="S734">
        <f t="shared" si="59"/>
        <v>1746.5479999998552</v>
      </c>
    </row>
    <row r="735" spans="1:19"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c r="O735" t="str">
        <f t="shared" si="55"/>
        <v>Jun</v>
      </c>
      <c r="P735" t="str">
        <f t="shared" si="56"/>
        <v>Friday</v>
      </c>
      <c r="Q735">
        <f t="shared" si="57"/>
        <v>7471.4543999999996</v>
      </c>
      <c r="R735">
        <f t="shared" si="58"/>
        <v>8341.02</v>
      </c>
      <c r="S735">
        <f t="shared" si="59"/>
        <v>6172.3548000000001</v>
      </c>
    </row>
    <row r="736" spans="1:19"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c r="O736" t="str">
        <f t="shared" si="55"/>
        <v>Dec</v>
      </c>
      <c r="P736" t="str">
        <f t="shared" si="56"/>
        <v>Friday</v>
      </c>
      <c r="Q736">
        <f t="shared" si="57"/>
        <v>86197.619200000001</v>
      </c>
      <c r="R736">
        <f t="shared" si="58"/>
        <v>16541.399999999991</v>
      </c>
      <c r="S736">
        <f t="shared" si="59"/>
        <v>12736.877999999993</v>
      </c>
    </row>
    <row r="737" spans="1:19" x14ac:dyDescent="0.3">
      <c r="A737">
        <v>1014</v>
      </c>
      <c r="B737" s="1">
        <v>45084</v>
      </c>
      <c r="C737" t="s">
        <v>42</v>
      </c>
      <c r="D737" t="s">
        <v>15</v>
      </c>
      <c r="E737">
        <v>408.38</v>
      </c>
      <c r="F737">
        <v>3</v>
      </c>
      <c r="G737" t="s">
        <v>35</v>
      </c>
      <c r="H737">
        <v>2468.29</v>
      </c>
      <c r="I737">
        <v>2723.13</v>
      </c>
      <c r="J737" t="s">
        <v>17</v>
      </c>
      <c r="K737">
        <v>0.08</v>
      </c>
      <c r="L737" t="s">
        <v>18</v>
      </c>
      <c r="M737" t="s">
        <v>22</v>
      </c>
      <c r="N737" t="s">
        <v>49</v>
      </c>
      <c r="O737" t="str">
        <f t="shared" si="55"/>
        <v>Jun</v>
      </c>
      <c r="P737" t="str">
        <f t="shared" si="56"/>
        <v>Wednesday</v>
      </c>
      <c r="Q737">
        <f t="shared" si="57"/>
        <v>6812.4804000000004</v>
      </c>
      <c r="R737">
        <f t="shared" si="58"/>
        <v>764.52000000000044</v>
      </c>
      <c r="S737">
        <f t="shared" si="59"/>
        <v>703.35840000000042</v>
      </c>
    </row>
    <row r="738" spans="1:19" x14ac:dyDescent="0.3">
      <c r="A738">
        <v>1015</v>
      </c>
      <c r="B738" s="1">
        <v>44965</v>
      </c>
      <c r="C738" t="s">
        <v>33</v>
      </c>
      <c r="D738" t="s">
        <v>34</v>
      </c>
      <c r="E738">
        <v>2669.81</v>
      </c>
      <c r="F738">
        <v>23</v>
      </c>
      <c r="G738" t="s">
        <v>35</v>
      </c>
      <c r="H738">
        <v>2644.77</v>
      </c>
      <c r="I738">
        <v>2684.83</v>
      </c>
      <c r="J738" t="s">
        <v>30</v>
      </c>
      <c r="K738">
        <v>0.24</v>
      </c>
      <c r="L738" t="s">
        <v>18</v>
      </c>
      <c r="M738" t="s">
        <v>19</v>
      </c>
      <c r="N738" t="s">
        <v>36</v>
      </c>
      <c r="O738" t="str">
        <f t="shared" si="55"/>
        <v>Feb</v>
      </c>
      <c r="P738" t="str">
        <f t="shared" si="56"/>
        <v>Wednesday</v>
      </c>
      <c r="Q738">
        <f t="shared" si="57"/>
        <v>46230.579599999997</v>
      </c>
      <c r="R738">
        <f t="shared" si="58"/>
        <v>921.37999999999874</v>
      </c>
      <c r="S738">
        <f t="shared" si="59"/>
        <v>700.24879999999905</v>
      </c>
    </row>
    <row r="739" spans="1:19" x14ac:dyDescent="0.3">
      <c r="A739">
        <v>1031</v>
      </c>
      <c r="B739" s="1">
        <v>45008</v>
      </c>
      <c r="C739" t="s">
        <v>38</v>
      </c>
      <c r="D739" t="s">
        <v>34</v>
      </c>
      <c r="E739">
        <v>433.4</v>
      </c>
      <c r="F739">
        <v>32</v>
      </c>
      <c r="G739" t="s">
        <v>29</v>
      </c>
      <c r="H739">
        <v>3351.33</v>
      </c>
      <c r="I739">
        <v>3711.47</v>
      </c>
      <c r="J739" t="s">
        <v>30</v>
      </c>
      <c r="K739">
        <v>0.16</v>
      </c>
      <c r="L739" t="s">
        <v>18</v>
      </c>
      <c r="M739" t="s">
        <v>22</v>
      </c>
      <c r="N739" t="s">
        <v>48</v>
      </c>
      <c r="O739" t="str">
        <f t="shared" si="55"/>
        <v>Mar</v>
      </c>
      <c r="P739" t="str">
        <f t="shared" si="56"/>
        <v>Thursday</v>
      </c>
      <c r="Q739">
        <f t="shared" si="57"/>
        <v>90083.75039999999</v>
      </c>
      <c r="R739">
        <f t="shared" si="58"/>
        <v>11524.479999999996</v>
      </c>
      <c r="S739">
        <f t="shared" si="59"/>
        <v>9680.5631999999969</v>
      </c>
    </row>
    <row r="740" spans="1:19" x14ac:dyDescent="0.3">
      <c r="A740">
        <v>1001</v>
      </c>
      <c r="B740" s="1">
        <v>45282</v>
      </c>
      <c r="C740" t="s">
        <v>24</v>
      </c>
      <c r="D740" t="s">
        <v>21</v>
      </c>
      <c r="E740">
        <v>8803.94</v>
      </c>
      <c r="F740">
        <v>45</v>
      </c>
      <c r="G740" t="s">
        <v>29</v>
      </c>
      <c r="H740">
        <v>1372.36</v>
      </c>
      <c r="I740">
        <v>1687.83</v>
      </c>
      <c r="J740" t="s">
        <v>30</v>
      </c>
      <c r="K740">
        <v>0.02</v>
      </c>
      <c r="L740" t="s">
        <v>31</v>
      </c>
      <c r="M740" t="s">
        <v>19</v>
      </c>
      <c r="N740" t="s">
        <v>47</v>
      </c>
      <c r="O740" t="str">
        <f t="shared" si="55"/>
        <v>Dec</v>
      </c>
      <c r="P740" t="str">
        <f t="shared" si="56"/>
        <v>Friday</v>
      </c>
      <c r="Q740">
        <f t="shared" si="57"/>
        <v>60521.075999999994</v>
      </c>
      <c r="R740">
        <f t="shared" si="58"/>
        <v>14196.150000000001</v>
      </c>
      <c r="S740">
        <f t="shared" si="59"/>
        <v>13912.227000000001</v>
      </c>
    </row>
    <row r="741" spans="1:19"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c r="O741" t="str">
        <f t="shared" si="55"/>
        <v>Sep</v>
      </c>
      <c r="P741" t="str">
        <f t="shared" si="56"/>
        <v>Friday</v>
      </c>
      <c r="Q741">
        <f t="shared" si="57"/>
        <v>62715.190399999999</v>
      </c>
      <c r="R741">
        <f t="shared" si="58"/>
        <v>7769.1199999999953</v>
      </c>
      <c r="S741">
        <f t="shared" si="59"/>
        <v>6681.4431999999961</v>
      </c>
    </row>
    <row r="742" spans="1:19"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c r="O742" t="str">
        <f t="shared" si="55"/>
        <v>Jul</v>
      </c>
      <c r="P742" t="str">
        <f t="shared" si="56"/>
        <v>Tuesday</v>
      </c>
      <c r="Q742">
        <f t="shared" si="57"/>
        <v>7943.6879999999992</v>
      </c>
      <c r="R742">
        <f t="shared" si="58"/>
        <v>1419.4499999999994</v>
      </c>
      <c r="S742">
        <f t="shared" si="59"/>
        <v>1022.0039999999995</v>
      </c>
    </row>
    <row r="743" spans="1:19" x14ac:dyDescent="0.3">
      <c r="A743">
        <v>1016</v>
      </c>
      <c r="B743" s="1">
        <v>45003</v>
      </c>
      <c r="C743" t="s">
        <v>24</v>
      </c>
      <c r="D743" t="s">
        <v>25</v>
      </c>
      <c r="E743">
        <v>485.9</v>
      </c>
      <c r="F743">
        <v>4</v>
      </c>
      <c r="G743" t="s">
        <v>26</v>
      </c>
      <c r="H743">
        <v>688.98</v>
      </c>
      <c r="I743">
        <v>863.81</v>
      </c>
      <c r="J743" t="s">
        <v>30</v>
      </c>
      <c r="K743">
        <v>0.27</v>
      </c>
      <c r="L743" t="s">
        <v>31</v>
      </c>
      <c r="M743" t="s">
        <v>22</v>
      </c>
      <c r="N743" t="s">
        <v>28</v>
      </c>
      <c r="O743" t="str">
        <f t="shared" si="55"/>
        <v>Mar</v>
      </c>
      <c r="P743" t="str">
        <f t="shared" si="56"/>
        <v>Saturday</v>
      </c>
      <c r="Q743">
        <f t="shared" si="57"/>
        <v>2011.8216</v>
      </c>
      <c r="R743">
        <f t="shared" si="58"/>
        <v>699.31999999999971</v>
      </c>
      <c r="S743">
        <f t="shared" si="59"/>
        <v>510.50359999999978</v>
      </c>
    </row>
    <row r="744" spans="1:19" x14ac:dyDescent="0.3">
      <c r="A744">
        <v>1087</v>
      </c>
      <c r="B744" s="1">
        <v>44938</v>
      </c>
      <c r="C744" t="s">
        <v>33</v>
      </c>
      <c r="D744" t="s">
        <v>15</v>
      </c>
      <c r="E744">
        <v>6701.79</v>
      </c>
      <c r="F744">
        <v>21</v>
      </c>
      <c r="G744" t="s">
        <v>26</v>
      </c>
      <c r="H744">
        <v>3724.38</v>
      </c>
      <c r="I744">
        <v>3988.7</v>
      </c>
      <c r="J744" t="s">
        <v>30</v>
      </c>
      <c r="K744">
        <v>0.03</v>
      </c>
      <c r="L744" t="s">
        <v>27</v>
      </c>
      <c r="M744" t="s">
        <v>22</v>
      </c>
      <c r="N744" t="s">
        <v>53</v>
      </c>
      <c r="O744" t="str">
        <f t="shared" si="55"/>
        <v>Jan</v>
      </c>
      <c r="P744" t="str">
        <f t="shared" si="56"/>
        <v>Thursday</v>
      </c>
      <c r="Q744">
        <f t="shared" si="57"/>
        <v>75865.620599999995</v>
      </c>
      <c r="R744">
        <f t="shared" si="58"/>
        <v>5550.7199999999939</v>
      </c>
      <c r="S744">
        <f t="shared" si="59"/>
        <v>5384.1983999999939</v>
      </c>
    </row>
    <row r="745" spans="1:19" x14ac:dyDescent="0.3">
      <c r="A745">
        <v>1057</v>
      </c>
      <c r="B745" s="1">
        <v>45221</v>
      </c>
      <c r="C745" t="s">
        <v>38</v>
      </c>
      <c r="D745" t="s">
        <v>25</v>
      </c>
      <c r="E745">
        <v>3297.97</v>
      </c>
      <c r="F745">
        <v>40</v>
      </c>
      <c r="G745" t="s">
        <v>29</v>
      </c>
      <c r="H745">
        <v>3233.37</v>
      </c>
      <c r="I745">
        <v>3723.21</v>
      </c>
      <c r="J745" t="s">
        <v>30</v>
      </c>
      <c r="K745">
        <v>0.22</v>
      </c>
      <c r="L745" t="s">
        <v>27</v>
      </c>
      <c r="M745" t="s">
        <v>22</v>
      </c>
      <c r="N745" t="s">
        <v>39</v>
      </c>
      <c r="O745" t="str">
        <f t="shared" si="55"/>
        <v>Oct</v>
      </c>
      <c r="P745" t="str">
        <f t="shared" si="56"/>
        <v>Sunday</v>
      </c>
      <c r="Q745">
        <f t="shared" si="57"/>
        <v>100881.144</v>
      </c>
      <c r="R745">
        <f t="shared" si="58"/>
        <v>19593.600000000006</v>
      </c>
      <c r="S745">
        <f t="shared" si="59"/>
        <v>15283.008000000005</v>
      </c>
    </row>
    <row r="746" spans="1:19" x14ac:dyDescent="0.3">
      <c r="A746">
        <v>1075</v>
      </c>
      <c r="B746" s="1">
        <v>45150</v>
      </c>
      <c r="C746" t="s">
        <v>24</v>
      </c>
      <c r="D746" t="s">
        <v>34</v>
      </c>
      <c r="E746">
        <v>8989.4</v>
      </c>
      <c r="F746">
        <v>14</v>
      </c>
      <c r="G746" t="s">
        <v>16</v>
      </c>
      <c r="H746">
        <v>1612.93</v>
      </c>
      <c r="I746">
        <v>1964.15</v>
      </c>
      <c r="J746" t="s">
        <v>17</v>
      </c>
      <c r="K746">
        <v>0.24</v>
      </c>
      <c r="L746" t="s">
        <v>27</v>
      </c>
      <c r="M746" t="s">
        <v>22</v>
      </c>
      <c r="N746" t="s">
        <v>50</v>
      </c>
      <c r="O746" t="str">
        <f t="shared" si="55"/>
        <v>Aug</v>
      </c>
      <c r="P746" t="str">
        <f t="shared" si="56"/>
        <v>Saturday</v>
      </c>
      <c r="Q746">
        <f t="shared" si="57"/>
        <v>17161.575199999999</v>
      </c>
      <c r="R746">
        <f t="shared" si="58"/>
        <v>4917.08</v>
      </c>
      <c r="S746">
        <f t="shared" si="59"/>
        <v>3736.9807999999998</v>
      </c>
    </row>
    <row r="747" spans="1:19"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c r="O747" t="str">
        <f t="shared" si="55"/>
        <v>Jan</v>
      </c>
      <c r="P747" t="str">
        <f t="shared" si="56"/>
        <v>Friday</v>
      </c>
      <c r="Q747">
        <f t="shared" si="57"/>
        <v>112179.53760000001</v>
      </c>
      <c r="R747">
        <f t="shared" si="58"/>
        <v>13231.529999999999</v>
      </c>
      <c r="S747">
        <f t="shared" si="59"/>
        <v>12173.007599999999</v>
      </c>
    </row>
    <row r="748" spans="1:19"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c r="O748" t="str">
        <f t="shared" si="55"/>
        <v>Feb</v>
      </c>
      <c r="P748" t="str">
        <f t="shared" si="56"/>
        <v>Wednesday</v>
      </c>
      <c r="Q748">
        <f t="shared" si="57"/>
        <v>30347.611199999999</v>
      </c>
      <c r="R748">
        <f t="shared" si="58"/>
        <v>3965.8300000000017</v>
      </c>
      <c r="S748">
        <f t="shared" si="59"/>
        <v>3410.6138000000014</v>
      </c>
    </row>
    <row r="749" spans="1:19"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c r="O749" t="str">
        <f t="shared" si="55"/>
        <v>Jun</v>
      </c>
      <c r="P749" t="str">
        <f t="shared" si="56"/>
        <v>Sunday</v>
      </c>
      <c r="Q749">
        <f t="shared" si="57"/>
        <v>24906.566999999999</v>
      </c>
      <c r="R749">
        <f t="shared" si="58"/>
        <v>5241.1799999998648</v>
      </c>
      <c r="S749">
        <f t="shared" si="59"/>
        <v>4140.5321999998932</v>
      </c>
    </row>
    <row r="750" spans="1:19"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c r="O750" t="str">
        <f t="shared" si="55"/>
        <v>Apr</v>
      </c>
      <c r="P750" t="str">
        <f t="shared" si="56"/>
        <v>Sunday</v>
      </c>
      <c r="Q750">
        <f t="shared" si="57"/>
        <v>23500.909800000001</v>
      </c>
      <c r="R750">
        <f t="shared" si="58"/>
        <v>2265.7800000000007</v>
      </c>
      <c r="S750">
        <f t="shared" si="59"/>
        <v>1971.2286000000006</v>
      </c>
    </row>
    <row r="751" spans="1:19" x14ac:dyDescent="0.3">
      <c r="A751">
        <v>1072</v>
      </c>
      <c r="B751" s="1">
        <v>45159</v>
      </c>
      <c r="C751" t="s">
        <v>42</v>
      </c>
      <c r="D751" t="s">
        <v>21</v>
      </c>
      <c r="E751">
        <v>8271.6200000000008</v>
      </c>
      <c r="F751">
        <v>12</v>
      </c>
      <c r="G751" t="s">
        <v>29</v>
      </c>
      <c r="H751">
        <v>710.99</v>
      </c>
      <c r="I751">
        <v>876.46</v>
      </c>
      <c r="J751" t="s">
        <v>17</v>
      </c>
      <c r="K751">
        <v>0.03</v>
      </c>
      <c r="L751" t="s">
        <v>31</v>
      </c>
      <c r="M751" t="s">
        <v>19</v>
      </c>
      <c r="N751" t="s">
        <v>51</v>
      </c>
      <c r="O751" t="str">
        <f t="shared" si="55"/>
        <v>Aug</v>
      </c>
      <c r="P751" t="str">
        <f t="shared" si="56"/>
        <v>Monday</v>
      </c>
      <c r="Q751">
        <f t="shared" si="57"/>
        <v>8275.9236000000001</v>
      </c>
      <c r="R751">
        <f t="shared" si="58"/>
        <v>1985.6400000000003</v>
      </c>
      <c r="S751">
        <f t="shared" si="59"/>
        <v>1926.0708000000002</v>
      </c>
    </row>
    <row r="752" spans="1:19" x14ac:dyDescent="0.3">
      <c r="A752">
        <v>1076</v>
      </c>
      <c r="B752" s="1">
        <v>44943</v>
      </c>
      <c r="C752" t="s">
        <v>33</v>
      </c>
      <c r="D752" t="s">
        <v>25</v>
      </c>
      <c r="E752">
        <v>8464.23</v>
      </c>
      <c r="F752">
        <v>16</v>
      </c>
      <c r="G752" t="s">
        <v>29</v>
      </c>
      <c r="H752">
        <v>1964.15</v>
      </c>
      <c r="I752">
        <v>2211.17</v>
      </c>
      <c r="J752" t="s">
        <v>17</v>
      </c>
      <c r="K752">
        <v>0.21</v>
      </c>
      <c r="L752" t="s">
        <v>27</v>
      </c>
      <c r="M752" t="s">
        <v>19</v>
      </c>
      <c r="N752" t="s">
        <v>44</v>
      </c>
      <c r="O752" t="str">
        <f t="shared" si="55"/>
        <v>Jan</v>
      </c>
      <c r="P752" t="str">
        <f t="shared" si="56"/>
        <v>Tuesday</v>
      </c>
      <c r="Q752">
        <f t="shared" si="57"/>
        <v>24826.856000000003</v>
      </c>
      <c r="R752">
        <f t="shared" si="58"/>
        <v>3952.3199999999997</v>
      </c>
      <c r="S752">
        <f t="shared" si="59"/>
        <v>3122.3328000000001</v>
      </c>
    </row>
    <row r="753" spans="1:19"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c r="O753" t="str">
        <f t="shared" si="55"/>
        <v>Dec</v>
      </c>
      <c r="P753" t="str">
        <f t="shared" si="56"/>
        <v>Tuesday</v>
      </c>
      <c r="Q753">
        <f t="shared" si="57"/>
        <v>51062.9306</v>
      </c>
      <c r="R753">
        <f t="shared" si="58"/>
        <v>2624.1199999998398</v>
      </c>
      <c r="S753">
        <f t="shared" si="59"/>
        <v>1915.607599999883</v>
      </c>
    </row>
    <row r="754" spans="1:19"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c r="O754" t="str">
        <f t="shared" si="55"/>
        <v>Aug</v>
      </c>
      <c r="P754" t="str">
        <f t="shared" si="56"/>
        <v>Friday</v>
      </c>
      <c r="Q754">
        <f t="shared" si="57"/>
        <v>174563.28</v>
      </c>
      <c r="R754">
        <f t="shared" si="58"/>
        <v>6154.6500000000196</v>
      </c>
      <c r="S754">
        <f t="shared" si="59"/>
        <v>4923.7200000000157</v>
      </c>
    </row>
    <row r="755" spans="1:19"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c r="O755" t="str">
        <f t="shared" si="55"/>
        <v>Dec</v>
      </c>
      <c r="P755" t="str">
        <f t="shared" si="56"/>
        <v>Wednesday</v>
      </c>
      <c r="Q755">
        <f t="shared" si="57"/>
        <v>40678.630299999997</v>
      </c>
      <c r="R755">
        <f t="shared" si="58"/>
        <v>521.87000000000126</v>
      </c>
      <c r="S755">
        <f t="shared" si="59"/>
        <v>401.83990000000097</v>
      </c>
    </row>
    <row r="756" spans="1:19" x14ac:dyDescent="0.3">
      <c r="A756">
        <v>1092</v>
      </c>
      <c r="B756" s="1">
        <v>45114</v>
      </c>
      <c r="C756" t="s">
        <v>42</v>
      </c>
      <c r="D756" t="s">
        <v>25</v>
      </c>
      <c r="E756">
        <v>1039.69</v>
      </c>
      <c r="F756">
        <v>14</v>
      </c>
      <c r="G756" t="s">
        <v>16</v>
      </c>
      <c r="H756">
        <v>2559.65</v>
      </c>
      <c r="I756">
        <v>2709.4</v>
      </c>
      <c r="J756" t="s">
        <v>17</v>
      </c>
      <c r="K756">
        <v>0.11</v>
      </c>
      <c r="L756" t="s">
        <v>31</v>
      </c>
      <c r="M756" t="s">
        <v>22</v>
      </c>
      <c r="N756" t="s">
        <v>43</v>
      </c>
      <c r="O756" t="str">
        <f t="shared" si="55"/>
        <v>Jul</v>
      </c>
      <c r="P756" t="str">
        <f t="shared" si="56"/>
        <v>Friday</v>
      </c>
      <c r="Q756">
        <f t="shared" si="57"/>
        <v>31893.238999999998</v>
      </c>
      <c r="R756">
        <f t="shared" si="58"/>
        <v>2096.5</v>
      </c>
      <c r="S756">
        <f t="shared" si="59"/>
        <v>1865.885</v>
      </c>
    </row>
    <row r="757" spans="1:19" x14ac:dyDescent="0.3">
      <c r="A757">
        <v>1036</v>
      </c>
      <c r="B757" s="1">
        <v>45270</v>
      </c>
      <c r="C757" t="s">
        <v>24</v>
      </c>
      <c r="D757" t="s">
        <v>15</v>
      </c>
      <c r="E757">
        <v>9989.0400000000009</v>
      </c>
      <c r="F757">
        <v>7</v>
      </c>
      <c r="G757" t="s">
        <v>26</v>
      </c>
      <c r="H757">
        <v>2882.25</v>
      </c>
      <c r="I757">
        <v>3163.7</v>
      </c>
      <c r="J757" t="s">
        <v>17</v>
      </c>
      <c r="K757">
        <v>0.05</v>
      </c>
      <c r="L757" t="s">
        <v>18</v>
      </c>
      <c r="M757" t="s">
        <v>22</v>
      </c>
      <c r="N757" t="s">
        <v>45</v>
      </c>
      <c r="O757" t="str">
        <f t="shared" si="55"/>
        <v>Dec</v>
      </c>
      <c r="P757" t="str">
        <f t="shared" si="56"/>
        <v>Sunday</v>
      </c>
      <c r="Q757">
        <f t="shared" si="57"/>
        <v>19166.962499999998</v>
      </c>
      <c r="R757">
        <f t="shared" si="58"/>
        <v>1970.1499999999987</v>
      </c>
      <c r="S757">
        <f t="shared" si="59"/>
        <v>1871.6424999999988</v>
      </c>
    </row>
    <row r="758" spans="1:19"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c r="O758" t="str">
        <f t="shared" si="55"/>
        <v>Dec</v>
      </c>
      <c r="P758" t="str">
        <f t="shared" si="56"/>
        <v>Sunday</v>
      </c>
      <c r="Q758">
        <f t="shared" si="57"/>
        <v>173822.37119999999</v>
      </c>
      <c r="R758">
        <f t="shared" si="58"/>
        <v>495.87999999998829</v>
      </c>
      <c r="S758">
        <f t="shared" si="59"/>
        <v>401.66279999999051</v>
      </c>
    </row>
    <row r="759" spans="1:19"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c r="O759" t="str">
        <f t="shared" si="55"/>
        <v>Jun</v>
      </c>
      <c r="P759" t="str">
        <f t="shared" si="56"/>
        <v>Monday</v>
      </c>
      <c r="Q759">
        <f t="shared" si="57"/>
        <v>123785.856</v>
      </c>
      <c r="R759">
        <f t="shared" si="58"/>
        <v>4760.9599999999919</v>
      </c>
      <c r="S759">
        <f t="shared" si="59"/>
        <v>4284.8639999999932</v>
      </c>
    </row>
    <row r="760" spans="1:19" x14ac:dyDescent="0.3">
      <c r="A760">
        <v>1058</v>
      </c>
      <c r="B760" s="1">
        <v>45252</v>
      </c>
      <c r="C760" t="s">
        <v>42</v>
      </c>
      <c r="D760" t="s">
        <v>21</v>
      </c>
      <c r="E760">
        <v>8085.98</v>
      </c>
      <c r="F760">
        <v>15</v>
      </c>
      <c r="G760" t="s">
        <v>29</v>
      </c>
      <c r="H760">
        <v>894.48</v>
      </c>
      <c r="I760">
        <v>1336.37</v>
      </c>
      <c r="J760" t="s">
        <v>17</v>
      </c>
      <c r="K760">
        <v>0.26</v>
      </c>
      <c r="L760" t="s">
        <v>18</v>
      </c>
      <c r="M760" t="s">
        <v>22</v>
      </c>
      <c r="N760" t="s">
        <v>51</v>
      </c>
      <c r="O760" t="str">
        <f t="shared" si="55"/>
        <v>Nov</v>
      </c>
      <c r="P760" t="str">
        <f t="shared" si="56"/>
        <v>Wednesday</v>
      </c>
      <c r="Q760">
        <f t="shared" si="57"/>
        <v>9928.728000000001</v>
      </c>
      <c r="R760">
        <f t="shared" si="58"/>
        <v>6628.3499999999985</v>
      </c>
      <c r="S760">
        <f t="shared" si="59"/>
        <v>4904.9789999999985</v>
      </c>
    </row>
    <row r="761" spans="1:19"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c r="O761" t="str">
        <f t="shared" si="55"/>
        <v>Mar</v>
      </c>
      <c r="P761" t="str">
        <f t="shared" si="56"/>
        <v>Wednesday</v>
      </c>
      <c r="Q761">
        <f t="shared" si="57"/>
        <v>93432.767999999982</v>
      </c>
      <c r="R761">
        <f t="shared" si="58"/>
        <v>13239.159999999574</v>
      </c>
      <c r="S761">
        <f t="shared" si="59"/>
        <v>12709.593599999591</v>
      </c>
    </row>
    <row r="762" spans="1:19"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c r="O762" t="str">
        <f t="shared" si="55"/>
        <v>Aug</v>
      </c>
      <c r="P762" t="str">
        <f t="shared" si="56"/>
        <v>Monday</v>
      </c>
      <c r="Q762">
        <f t="shared" si="57"/>
        <v>34709.172000000006</v>
      </c>
      <c r="R762">
        <f t="shared" si="58"/>
        <v>5233.4499999999989</v>
      </c>
      <c r="S762">
        <f t="shared" si="59"/>
        <v>4553.1014999999989</v>
      </c>
    </row>
    <row r="763" spans="1:19"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c r="O763" t="str">
        <f t="shared" si="55"/>
        <v>Aug</v>
      </c>
      <c r="P763" t="str">
        <f t="shared" si="56"/>
        <v>Saturday</v>
      </c>
      <c r="Q763">
        <f t="shared" si="57"/>
        <v>142733.56240000002</v>
      </c>
      <c r="R763">
        <f t="shared" si="58"/>
        <v>8513.6500000000033</v>
      </c>
      <c r="S763">
        <f t="shared" si="59"/>
        <v>7492.0120000000034</v>
      </c>
    </row>
    <row r="764" spans="1:19"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c r="O764" t="str">
        <f t="shared" si="55"/>
        <v>Nov</v>
      </c>
      <c r="P764" t="str">
        <f t="shared" si="56"/>
        <v>Wednesday</v>
      </c>
      <c r="Q764">
        <f t="shared" si="57"/>
        <v>102681.3888</v>
      </c>
      <c r="R764">
        <f t="shared" si="58"/>
        <v>16049.089999999991</v>
      </c>
      <c r="S764">
        <f t="shared" si="59"/>
        <v>11555.344799999993</v>
      </c>
    </row>
    <row r="765" spans="1:19" x14ac:dyDescent="0.3">
      <c r="A765">
        <v>1041</v>
      </c>
      <c r="B765" s="1">
        <v>44986</v>
      </c>
      <c r="C765" t="s">
        <v>33</v>
      </c>
      <c r="D765" t="s">
        <v>34</v>
      </c>
      <c r="E765">
        <v>4170.8</v>
      </c>
      <c r="F765">
        <v>44</v>
      </c>
      <c r="G765" t="s">
        <v>35</v>
      </c>
      <c r="H765">
        <v>3288.39</v>
      </c>
      <c r="I765">
        <v>3391.46</v>
      </c>
      <c r="J765" t="s">
        <v>30</v>
      </c>
      <c r="K765">
        <v>0.05</v>
      </c>
      <c r="L765" t="s">
        <v>31</v>
      </c>
      <c r="M765" t="s">
        <v>22</v>
      </c>
      <c r="N765" t="s">
        <v>36</v>
      </c>
      <c r="O765" t="str">
        <f t="shared" si="55"/>
        <v>Mar</v>
      </c>
      <c r="P765" t="str">
        <f t="shared" si="56"/>
        <v>Wednesday</v>
      </c>
      <c r="Q765">
        <f t="shared" si="57"/>
        <v>137454.70199999999</v>
      </c>
      <c r="R765">
        <f t="shared" si="58"/>
        <v>4535.0800000000072</v>
      </c>
      <c r="S765">
        <f t="shared" si="59"/>
        <v>4308.3260000000064</v>
      </c>
    </row>
    <row r="766" spans="1:19" x14ac:dyDescent="0.3">
      <c r="A766">
        <v>1100</v>
      </c>
      <c r="B766" s="1">
        <v>45261</v>
      </c>
      <c r="C766" t="s">
        <v>42</v>
      </c>
      <c r="D766" t="s">
        <v>34</v>
      </c>
      <c r="E766">
        <v>1387.8</v>
      </c>
      <c r="F766">
        <v>34</v>
      </c>
      <c r="G766" t="s">
        <v>16</v>
      </c>
      <c r="H766">
        <v>4991.09</v>
      </c>
      <c r="I766">
        <v>5402.28</v>
      </c>
      <c r="J766" t="s">
        <v>17</v>
      </c>
      <c r="K766">
        <v>0</v>
      </c>
      <c r="L766" t="s">
        <v>18</v>
      </c>
      <c r="M766" t="s">
        <v>22</v>
      </c>
      <c r="N766" t="s">
        <v>52</v>
      </c>
      <c r="O766" t="str">
        <f t="shared" si="55"/>
        <v>Dec</v>
      </c>
      <c r="P766" t="str">
        <f t="shared" si="56"/>
        <v>Friday</v>
      </c>
      <c r="Q766">
        <f t="shared" si="57"/>
        <v>169697.06</v>
      </c>
      <c r="R766">
        <f t="shared" si="58"/>
        <v>13980.459999999986</v>
      </c>
      <c r="S766">
        <f t="shared" si="59"/>
        <v>13980.459999999986</v>
      </c>
    </row>
    <row r="767" spans="1:19"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c r="O767" t="str">
        <f t="shared" si="55"/>
        <v>Aug</v>
      </c>
      <c r="P767" t="str">
        <f t="shared" si="56"/>
        <v>Thursday</v>
      </c>
      <c r="Q767">
        <f t="shared" si="57"/>
        <v>1957.8824999999999</v>
      </c>
      <c r="R767">
        <f t="shared" si="58"/>
        <v>335.90000000000003</v>
      </c>
      <c r="S767">
        <f t="shared" si="59"/>
        <v>312.387</v>
      </c>
    </row>
    <row r="768" spans="1:19"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c r="O768" t="str">
        <f t="shared" si="55"/>
        <v>Feb</v>
      </c>
      <c r="P768" t="str">
        <f t="shared" si="56"/>
        <v>Monday</v>
      </c>
      <c r="Q768">
        <f t="shared" si="57"/>
        <v>38944.125000000007</v>
      </c>
      <c r="R768">
        <f t="shared" si="58"/>
        <v>14914.799999999992</v>
      </c>
      <c r="S768">
        <f t="shared" si="59"/>
        <v>11186.099999999995</v>
      </c>
    </row>
    <row r="769" spans="1:19"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c r="O769" t="str">
        <f t="shared" si="55"/>
        <v>Oct</v>
      </c>
      <c r="P769" t="str">
        <f t="shared" si="56"/>
        <v>Thursday</v>
      </c>
      <c r="Q769">
        <f t="shared" si="57"/>
        <v>52513.25039999999</v>
      </c>
      <c r="R769">
        <f t="shared" si="58"/>
        <v>4783.3199999999961</v>
      </c>
      <c r="S769">
        <f t="shared" si="59"/>
        <v>4496.3207999999959</v>
      </c>
    </row>
    <row r="770" spans="1:19"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c r="O770" t="str">
        <f t="shared" si="55"/>
        <v>Jul</v>
      </c>
      <c r="P770" t="str">
        <f t="shared" si="56"/>
        <v>Saturday</v>
      </c>
      <c r="Q770">
        <f t="shared" si="57"/>
        <v>37892.8128</v>
      </c>
      <c r="R770">
        <f t="shared" si="58"/>
        <v>8654.4400000000041</v>
      </c>
      <c r="S770">
        <f t="shared" si="59"/>
        <v>8048.629200000003</v>
      </c>
    </row>
    <row r="771" spans="1:19" x14ac:dyDescent="0.3">
      <c r="A771">
        <v>1073</v>
      </c>
      <c r="B771" s="1">
        <v>45278</v>
      </c>
      <c r="C771" t="s">
        <v>38</v>
      </c>
      <c r="D771" t="s">
        <v>21</v>
      </c>
      <c r="E771">
        <v>3196.5</v>
      </c>
      <c r="F771">
        <v>40</v>
      </c>
      <c r="G771" t="s">
        <v>26</v>
      </c>
      <c r="H771">
        <v>157.15</v>
      </c>
      <c r="I771">
        <v>436.53</v>
      </c>
      <c r="J771" t="s">
        <v>30</v>
      </c>
      <c r="K771">
        <v>0.04</v>
      </c>
      <c r="L771" t="s">
        <v>18</v>
      </c>
      <c r="M771" t="s">
        <v>22</v>
      </c>
      <c r="N771" t="s">
        <v>41</v>
      </c>
      <c r="O771" t="str">
        <f t="shared" ref="O771:O834" si="60">TEXT(B771,"mmm")</f>
        <v>Dec</v>
      </c>
      <c r="P771" t="str">
        <f t="shared" ref="P771:P834" si="61">TEXT(B771,"dddd")</f>
        <v>Monday</v>
      </c>
      <c r="Q771">
        <f t="shared" ref="Q771:Q834" si="62">(F771*H771)*(1-K771)</f>
        <v>6034.5599999999995</v>
      </c>
      <c r="R771">
        <f t="shared" ref="R771:R834" si="63">(I771-H771)*F771</f>
        <v>11175.2</v>
      </c>
      <c r="S771">
        <f t="shared" ref="S771:S834" si="64">((I771-H771)*F771)*(1-K771)</f>
        <v>10728.192000000001</v>
      </c>
    </row>
    <row r="772" spans="1:19" x14ac:dyDescent="0.3">
      <c r="A772">
        <v>1033</v>
      </c>
      <c r="B772" s="1">
        <v>45168</v>
      </c>
      <c r="C772" t="s">
        <v>14</v>
      </c>
      <c r="D772" t="s">
        <v>34</v>
      </c>
      <c r="E772">
        <v>6577.99</v>
      </c>
      <c r="F772">
        <v>14</v>
      </c>
      <c r="G772" t="s">
        <v>26</v>
      </c>
      <c r="H772">
        <v>504.3</v>
      </c>
      <c r="I772">
        <v>735.95</v>
      </c>
      <c r="J772" t="s">
        <v>17</v>
      </c>
      <c r="K772">
        <v>0.21</v>
      </c>
      <c r="L772" t="s">
        <v>18</v>
      </c>
      <c r="M772" t="s">
        <v>22</v>
      </c>
      <c r="N772" t="s">
        <v>46</v>
      </c>
      <c r="O772" t="str">
        <f t="shared" si="60"/>
        <v>Aug</v>
      </c>
      <c r="P772" t="str">
        <f t="shared" si="61"/>
        <v>Wednesday</v>
      </c>
      <c r="Q772">
        <f t="shared" si="62"/>
        <v>5577.558</v>
      </c>
      <c r="R772">
        <f t="shared" si="63"/>
        <v>3243.1000000000004</v>
      </c>
      <c r="S772">
        <f t="shared" si="64"/>
        <v>2562.0490000000004</v>
      </c>
    </row>
    <row r="773" spans="1:19" x14ac:dyDescent="0.3">
      <c r="A773">
        <v>1084</v>
      </c>
      <c r="B773" s="1">
        <v>45250</v>
      </c>
      <c r="C773" t="s">
        <v>14</v>
      </c>
      <c r="D773" t="s">
        <v>25</v>
      </c>
      <c r="E773">
        <v>2396.98</v>
      </c>
      <c r="F773">
        <v>15</v>
      </c>
      <c r="G773" t="s">
        <v>16</v>
      </c>
      <c r="H773">
        <v>3420.72</v>
      </c>
      <c r="I773">
        <v>3513.74</v>
      </c>
      <c r="J773" t="s">
        <v>30</v>
      </c>
      <c r="K773">
        <v>0.02</v>
      </c>
      <c r="L773" t="s">
        <v>18</v>
      </c>
      <c r="M773" t="s">
        <v>19</v>
      </c>
      <c r="N773" t="s">
        <v>32</v>
      </c>
      <c r="O773" t="str">
        <f t="shared" si="60"/>
        <v>Nov</v>
      </c>
      <c r="P773" t="str">
        <f t="shared" si="61"/>
        <v>Monday</v>
      </c>
      <c r="Q773">
        <f t="shared" si="62"/>
        <v>50284.583999999995</v>
      </c>
      <c r="R773">
        <f t="shared" si="63"/>
        <v>1395.2999999999997</v>
      </c>
      <c r="S773">
        <f t="shared" si="64"/>
        <v>1367.3939999999998</v>
      </c>
    </row>
    <row r="774" spans="1:19" x14ac:dyDescent="0.3">
      <c r="A774">
        <v>1077</v>
      </c>
      <c r="B774" s="1">
        <v>45145</v>
      </c>
      <c r="C774" t="s">
        <v>33</v>
      </c>
      <c r="D774" t="s">
        <v>34</v>
      </c>
      <c r="E774">
        <v>242.38</v>
      </c>
      <c r="F774">
        <v>43</v>
      </c>
      <c r="G774" t="s">
        <v>26</v>
      </c>
      <c r="H774">
        <v>4402.66</v>
      </c>
      <c r="I774">
        <v>4724.7</v>
      </c>
      <c r="J774" t="s">
        <v>30</v>
      </c>
      <c r="K774">
        <v>0.1</v>
      </c>
      <c r="L774" t="s">
        <v>27</v>
      </c>
      <c r="M774" t="s">
        <v>22</v>
      </c>
      <c r="N774" t="s">
        <v>36</v>
      </c>
      <c r="O774" t="str">
        <f t="shared" si="60"/>
        <v>Aug</v>
      </c>
      <c r="P774" t="str">
        <f t="shared" si="61"/>
        <v>Monday</v>
      </c>
      <c r="Q774">
        <f t="shared" si="62"/>
        <v>170382.94200000001</v>
      </c>
      <c r="R774">
        <f t="shared" si="63"/>
        <v>13847.719999999998</v>
      </c>
      <c r="S774">
        <f t="shared" si="64"/>
        <v>12462.947999999999</v>
      </c>
    </row>
    <row r="775" spans="1:19" x14ac:dyDescent="0.3">
      <c r="A775">
        <v>1092</v>
      </c>
      <c r="B775" s="1">
        <v>45118</v>
      </c>
      <c r="C775" t="s">
        <v>38</v>
      </c>
      <c r="D775" t="s">
        <v>34</v>
      </c>
      <c r="E775">
        <v>7667.1</v>
      </c>
      <c r="F775">
        <v>33</v>
      </c>
      <c r="G775" t="s">
        <v>35</v>
      </c>
      <c r="H775">
        <v>2595.42</v>
      </c>
      <c r="I775">
        <v>3083.06</v>
      </c>
      <c r="J775" t="s">
        <v>30</v>
      </c>
      <c r="K775">
        <v>0.08</v>
      </c>
      <c r="L775" t="s">
        <v>31</v>
      </c>
      <c r="M775" t="s">
        <v>19</v>
      </c>
      <c r="N775" t="s">
        <v>48</v>
      </c>
      <c r="O775" t="str">
        <f t="shared" si="60"/>
        <v>Jul</v>
      </c>
      <c r="P775" t="str">
        <f t="shared" si="61"/>
        <v>Tuesday</v>
      </c>
      <c r="Q775">
        <f t="shared" si="62"/>
        <v>78796.95120000001</v>
      </c>
      <c r="R775">
        <f t="shared" si="63"/>
        <v>16092.119999999995</v>
      </c>
      <c r="S775">
        <f t="shared" si="64"/>
        <v>14804.750399999997</v>
      </c>
    </row>
    <row r="776" spans="1:19" x14ac:dyDescent="0.3">
      <c r="A776">
        <v>1029</v>
      </c>
      <c r="B776" s="1">
        <v>44943</v>
      </c>
      <c r="C776" t="s">
        <v>33</v>
      </c>
      <c r="D776" t="s">
        <v>15</v>
      </c>
      <c r="E776">
        <v>6275.06</v>
      </c>
      <c r="F776">
        <v>31</v>
      </c>
      <c r="G776" t="s">
        <v>35</v>
      </c>
      <c r="H776">
        <v>2719</v>
      </c>
      <c r="I776">
        <v>3133.55</v>
      </c>
      <c r="J776" t="s">
        <v>17</v>
      </c>
      <c r="K776">
        <v>0.17</v>
      </c>
      <c r="L776" t="s">
        <v>27</v>
      </c>
      <c r="M776" t="s">
        <v>22</v>
      </c>
      <c r="N776" t="s">
        <v>53</v>
      </c>
      <c r="O776" t="str">
        <f t="shared" si="60"/>
        <v>Jan</v>
      </c>
      <c r="P776" t="str">
        <f t="shared" si="61"/>
        <v>Tuesday</v>
      </c>
      <c r="Q776">
        <f t="shared" si="62"/>
        <v>69959.87</v>
      </c>
      <c r="R776">
        <f t="shared" si="63"/>
        <v>12851.050000000007</v>
      </c>
      <c r="S776">
        <f t="shared" si="64"/>
        <v>10666.371500000005</v>
      </c>
    </row>
    <row r="777" spans="1:19" x14ac:dyDescent="0.3">
      <c r="A777">
        <v>1013</v>
      </c>
      <c r="B777" s="1">
        <v>44938</v>
      </c>
      <c r="C777" t="s">
        <v>42</v>
      </c>
      <c r="D777" t="s">
        <v>21</v>
      </c>
      <c r="E777">
        <v>7646.8</v>
      </c>
      <c r="F777">
        <v>35</v>
      </c>
      <c r="G777" t="s">
        <v>35</v>
      </c>
      <c r="H777">
        <v>1312.71</v>
      </c>
      <c r="I777">
        <v>1352.11</v>
      </c>
      <c r="J777" t="s">
        <v>17</v>
      </c>
      <c r="K777">
        <v>0.22</v>
      </c>
      <c r="L777" t="s">
        <v>27</v>
      </c>
      <c r="M777" t="s">
        <v>22</v>
      </c>
      <c r="N777" t="s">
        <v>51</v>
      </c>
      <c r="O777" t="str">
        <f t="shared" si="60"/>
        <v>Jan</v>
      </c>
      <c r="P777" t="str">
        <f t="shared" si="61"/>
        <v>Thursday</v>
      </c>
      <c r="Q777">
        <f t="shared" si="62"/>
        <v>35836.983</v>
      </c>
      <c r="R777">
        <f t="shared" si="63"/>
        <v>1378.9999999999952</v>
      </c>
      <c r="S777">
        <f t="shared" si="64"/>
        <v>1075.6199999999963</v>
      </c>
    </row>
    <row r="778" spans="1:19"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c r="O778" t="str">
        <f t="shared" si="60"/>
        <v>Jul</v>
      </c>
      <c r="P778" t="str">
        <f t="shared" si="61"/>
        <v>Wednesday</v>
      </c>
      <c r="Q778">
        <f t="shared" si="62"/>
        <v>54992.13719999999</v>
      </c>
      <c r="R778">
        <f t="shared" si="63"/>
        <v>3303.9499999998361</v>
      </c>
      <c r="S778">
        <f t="shared" si="64"/>
        <v>2775.3179999998624</v>
      </c>
    </row>
    <row r="779" spans="1:19"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c r="O779" t="str">
        <f t="shared" si="60"/>
        <v>Jan</v>
      </c>
      <c r="P779" t="str">
        <f t="shared" si="61"/>
        <v>Sunday</v>
      </c>
      <c r="Q779">
        <f t="shared" si="62"/>
        <v>76031.020799999998</v>
      </c>
      <c r="R779">
        <f t="shared" si="63"/>
        <v>12979.119999999999</v>
      </c>
      <c r="S779">
        <f t="shared" si="64"/>
        <v>9344.9663999999993</v>
      </c>
    </row>
    <row r="780" spans="1:19"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c r="O780" t="str">
        <f t="shared" si="60"/>
        <v>Apr</v>
      </c>
      <c r="P780" t="str">
        <f t="shared" si="61"/>
        <v>Sunday</v>
      </c>
      <c r="Q780">
        <f t="shared" si="62"/>
        <v>39962.910899999995</v>
      </c>
      <c r="R780">
        <f t="shared" si="63"/>
        <v>4873.309999999814</v>
      </c>
      <c r="S780">
        <f t="shared" si="64"/>
        <v>3460.0500999998676</v>
      </c>
    </row>
    <row r="781" spans="1:19" x14ac:dyDescent="0.3">
      <c r="A781">
        <v>1082</v>
      </c>
      <c r="B781" s="1">
        <v>45136</v>
      </c>
      <c r="C781" t="s">
        <v>38</v>
      </c>
      <c r="D781" t="s">
        <v>34</v>
      </c>
      <c r="E781">
        <v>5677.61</v>
      </c>
      <c r="F781">
        <v>46</v>
      </c>
      <c r="G781" t="s">
        <v>26</v>
      </c>
      <c r="H781">
        <v>1102.69</v>
      </c>
      <c r="I781">
        <v>1437.12</v>
      </c>
      <c r="J781" t="s">
        <v>30</v>
      </c>
      <c r="K781">
        <v>0.11</v>
      </c>
      <c r="L781" t="s">
        <v>31</v>
      </c>
      <c r="M781" t="s">
        <v>19</v>
      </c>
      <c r="N781" t="s">
        <v>48</v>
      </c>
      <c r="O781" t="str">
        <f t="shared" si="60"/>
        <v>Jul</v>
      </c>
      <c r="P781" t="str">
        <f t="shared" si="61"/>
        <v>Saturday</v>
      </c>
      <c r="Q781">
        <f t="shared" si="62"/>
        <v>45144.128600000004</v>
      </c>
      <c r="R781">
        <f t="shared" si="63"/>
        <v>15383.779999999992</v>
      </c>
      <c r="S781">
        <f t="shared" si="64"/>
        <v>13691.564199999993</v>
      </c>
    </row>
    <row r="782" spans="1:19" x14ac:dyDescent="0.3">
      <c r="A782">
        <v>1069</v>
      </c>
      <c r="B782" s="1">
        <v>45232</v>
      </c>
      <c r="C782" t="s">
        <v>33</v>
      </c>
      <c r="D782" t="s">
        <v>15</v>
      </c>
      <c r="E782">
        <v>6283.68</v>
      </c>
      <c r="F782">
        <v>23</v>
      </c>
      <c r="G782" t="s">
        <v>16</v>
      </c>
      <c r="H782">
        <v>530.24</v>
      </c>
      <c r="I782">
        <v>987.41</v>
      </c>
      <c r="J782" t="s">
        <v>17</v>
      </c>
      <c r="K782">
        <v>0.23</v>
      </c>
      <c r="L782" t="s">
        <v>31</v>
      </c>
      <c r="M782" t="s">
        <v>19</v>
      </c>
      <c r="N782" t="s">
        <v>53</v>
      </c>
      <c r="O782" t="str">
        <f t="shared" si="60"/>
        <v>Nov</v>
      </c>
      <c r="P782" t="str">
        <f t="shared" si="61"/>
        <v>Thursday</v>
      </c>
      <c r="Q782">
        <f t="shared" si="62"/>
        <v>9390.5504000000001</v>
      </c>
      <c r="R782">
        <f t="shared" si="63"/>
        <v>10514.91</v>
      </c>
      <c r="S782">
        <f t="shared" si="64"/>
        <v>8096.4807000000001</v>
      </c>
    </row>
    <row r="783" spans="1:19" x14ac:dyDescent="0.3">
      <c r="A783">
        <v>1047</v>
      </c>
      <c r="B783" s="1">
        <v>45196</v>
      </c>
      <c r="C783" t="s">
        <v>38</v>
      </c>
      <c r="D783" t="s">
        <v>15</v>
      </c>
      <c r="E783">
        <v>8657.89</v>
      </c>
      <c r="F783">
        <v>32</v>
      </c>
      <c r="G783" t="s">
        <v>35</v>
      </c>
      <c r="H783">
        <v>367.98</v>
      </c>
      <c r="I783">
        <v>806.14</v>
      </c>
      <c r="J783" t="s">
        <v>17</v>
      </c>
      <c r="K783">
        <v>0.22</v>
      </c>
      <c r="L783" t="s">
        <v>31</v>
      </c>
      <c r="M783" t="s">
        <v>22</v>
      </c>
      <c r="N783" t="s">
        <v>40</v>
      </c>
      <c r="O783" t="str">
        <f t="shared" si="60"/>
        <v>Sep</v>
      </c>
      <c r="P783" t="str">
        <f t="shared" si="61"/>
        <v>Wednesday</v>
      </c>
      <c r="Q783">
        <f t="shared" si="62"/>
        <v>9184.7808000000005</v>
      </c>
      <c r="R783">
        <f t="shared" si="63"/>
        <v>14021.119999999999</v>
      </c>
      <c r="S783">
        <f t="shared" si="64"/>
        <v>10936.473599999999</v>
      </c>
    </row>
    <row r="784" spans="1:19" x14ac:dyDescent="0.3">
      <c r="A784">
        <v>1025</v>
      </c>
      <c r="B784" s="1">
        <v>45118</v>
      </c>
      <c r="C784" t="s">
        <v>33</v>
      </c>
      <c r="D784" t="s">
        <v>21</v>
      </c>
      <c r="E784">
        <v>5910.67</v>
      </c>
      <c r="F784">
        <v>40</v>
      </c>
      <c r="G784" t="s">
        <v>35</v>
      </c>
      <c r="H784">
        <v>2983.85</v>
      </c>
      <c r="I784">
        <v>3239.74</v>
      </c>
      <c r="J784" t="s">
        <v>30</v>
      </c>
      <c r="K784">
        <v>0.27</v>
      </c>
      <c r="L784" t="s">
        <v>31</v>
      </c>
      <c r="M784" t="s">
        <v>19</v>
      </c>
      <c r="N784" t="s">
        <v>37</v>
      </c>
      <c r="O784" t="str">
        <f t="shared" si="60"/>
        <v>Jul</v>
      </c>
      <c r="P784" t="str">
        <f t="shared" si="61"/>
        <v>Tuesday</v>
      </c>
      <c r="Q784">
        <f t="shared" si="62"/>
        <v>87128.42</v>
      </c>
      <c r="R784">
        <f t="shared" si="63"/>
        <v>10235.599999999995</v>
      </c>
      <c r="S784">
        <f t="shared" si="64"/>
        <v>7471.9879999999957</v>
      </c>
    </row>
    <row r="785" spans="1:19" x14ac:dyDescent="0.3">
      <c r="A785">
        <v>1066</v>
      </c>
      <c r="B785" s="1">
        <v>45101</v>
      </c>
      <c r="C785" t="s">
        <v>14</v>
      </c>
      <c r="D785" t="s">
        <v>21</v>
      </c>
      <c r="E785">
        <v>5851.41</v>
      </c>
      <c r="F785">
        <v>13</v>
      </c>
      <c r="G785" t="s">
        <v>16</v>
      </c>
      <c r="H785">
        <v>4133.92</v>
      </c>
      <c r="I785">
        <v>4358.37</v>
      </c>
      <c r="J785" t="s">
        <v>30</v>
      </c>
      <c r="K785">
        <v>0.13</v>
      </c>
      <c r="L785" t="s">
        <v>18</v>
      </c>
      <c r="M785" t="s">
        <v>22</v>
      </c>
      <c r="N785" t="s">
        <v>23</v>
      </c>
      <c r="O785" t="str">
        <f t="shared" si="60"/>
        <v>Jun</v>
      </c>
      <c r="P785" t="str">
        <f t="shared" si="61"/>
        <v>Saturday</v>
      </c>
      <c r="Q785">
        <f t="shared" si="62"/>
        <v>46754.635199999997</v>
      </c>
      <c r="R785">
        <f t="shared" si="63"/>
        <v>2917.8499999999976</v>
      </c>
      <c r="S785">
        <f t="shared" si="64"/>
        <v>2538.5294999999978</v>
      </c>
    </row>
    <row r="786" spans="1:19"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c r="O786" t="str">
        <f t="shared" si="60"/>
        <v>Oct</v>
      </c>
      <c r="P786" t="str">
        <f t="shared" si="61"/>
        <v>Thursday</v>
      </c>
      <c r="Q786">
        <f t="shared" si="62"/>
        <v>72218.83199999998</v>
      </c>
      <c r="R786">
        <f t="shared" si="63"/>
        <v>3528.9999999999964</v>
      </c>
      <c r="S786">
        <f t="shared" si="64"/>
        <v>2964.3599999999969</v>
      </c>
    </row>
    <row r="787" spans="1:19"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c r="O787" t="str">
        <f t="shared" si="60"/>
        <v>Jul</v>
      </c>
      <c r="P787" t="str">
        <f t="shared" si="61"/>
        <v>Sunday</v>
      </c>
      <c r="Q787">
        <f t="shared" si="62"/>
        <v>72223.843999999997</v>
      </c>
      <c r="R787">
        <f t="shared" si="63"/>
        <v>12681.200000000006</v>
      </c>
      <c r="S787">
        <f t="shared" si="64"/>
        <v>11159.456000000006</v>
      </c>
    </row>
    <row r="788" spans="1:19"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c r="O788" t="str">
        <f t="shared" si="60"/>
        <v>Jun</v>
      </c>
      <c r="P788" t="str">
        <f t="shared" si="61"/>
        <v>Tuesday</v>
      </c>
      <c r="Q788">
        <f t="shared" si="62"/>
        <v>14548.918</v>
      </c>
      <c r="R788">
        <f t="shared" si="63"/>
        <v>753.09999999995171</v>
      </c>
      <c r="S788">
        <f t="shared" si="64"/>
        <v>557.29399999996429</v>
      </c>
    </row>
    <row r="789" spans="1:19"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c r="O789" t="str">
        <f t="shared" si="60"/>
        <v>Sep</v>
      </c>
      <c r="P789" t="str">
        <f t="shared" si="61"/>
        <v>Friday</v>
      </c>
      <c r="Q789">
        <f t="shared" si="62"/>
        <v>39649.192199999998</v>
      </c>
      <c r="R789">
        <f t="shared" si="63"/>
        <v>1191.9599999999964</v>
      </c>
      <c r="S789">
        <f t="shared" si="64"/>
        <v>1108.5227999999966</v>
      </c>
    </row>
    <row r="790" spans="1:19"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c r="O790" t="str">
        <f t="shared" si="60"/>
        <v>Aug</v>
      </c>
      <c r="P790" t="str">
        <f t="shared" si="61"/>
        <v>Tuesday</v>
      </c>
      <c r="Q790">
        <f t="shared" si="62"/>
        <v>38084.067299999995</v>
      </c>
      <c r="R790">
        <f t="shared" si="63"/>
        <v>5352.2399999997151</v>
      </c>
      <c r="S790">
        <f t="shared" si="64"/>
        <v>4977.5831999997345</v>
      </c>
    </row>
    <row r="791" spans="1:19" x14ac:dyDescent="0.3">
      <c r="A791">
        <v>1065</v>
      </c>
      <c r="B791" s="1">
        <v>44933</v>
      </c>
      <c r="C791" t="s">
        <v>38</v>
      </c>
      <c r="D791" t="s">
        <v>15</v>
      </c>
      <c r="E791">
        <v>2365.87</v>
      </c>
      <c r="F791">
        <v>6</v>
      </c>
      <c r="G791" t="s">
        <v>29</v>
      </c>
      <c r="H791">
        <v>2019.9</v>
      </c>
      <c r="I791">
        <v>2116.7399999999998</v>
      </c>
      <c r="J791" t="s">
        <v>30</v>
      </c>
      <c r="K791">
        <v>0.11</v>
      </c>
      <c r="L791" t="s">
        <v>31</v>
      </c>
      <c r="M791" t="s">
        <v>19</v>
      </c>
      <c r="N791" t="s">
        <v>40</v>
      </c>
      <c r="O791" t="str">
        <f t="shared" si="60"/>
        <v>Jan</v>
      </c>
      <c r="P791" t="str">
        <f t="shared" si="61"/>
        <v>Saturday</v>
      </c>
      <c r="Q791">
        <f t="shared" si="62"/>
        <v>10786.266000000001</v>
      </c>
      <c r="R791">
        <f t="shared" si="63"/>
        <v>581.03999999999814</v>
      </c>
      <c r="S791">
        <f t="shared" si="64"/>
        <v>517.12559999999837</v>
      </c>
    </row>
    <row r="792" spans="1:19"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c r="O792" t="str">
        <f t="shared" si="60"/>
        <v>Jan</v>
      </c>
      <c r="P792" t="str">
        <f t="shared" si="61"/>
        <v>Sunday</v>
      </c>
      <c r="Q792">
        <f t="shared" si="62"/>
        <v>108364.06499999999</v>
      </c>
      <c r="R792">
        <f t="shared" si="63"/>
        <v>8765.2499999997635</v>
      </c>
      <c r="S792">
        <f t="shared" si="64"/>
        <v>8151.6824999997798</v>
      </c>
    </row>
    <row r="793" spans="1:19" x14ac:dyDescent="0.3">
      <c r="A793">
        <v>1096</v>
      </c>
      <c r="B793" s="1">
        <v>44959</v>
      </c>
      <c r="C793" t="s">
        <v>42</v>
      </c>
      <c r="D793" t="s">
        <v>34</v>
      </c>
      <c r="E793">
        <v>9289</v>
      </c>
      <c r="F793">
        <v>31</v>
      </c>
      <c r="G793" t="s">
        <v>35</v>
      </c>
      <c r="H793">
        <v>1724.24</v>
      </c>
      <c r="I793">
        <v>2036.2</v>
      </c>
      <c r="J793" t="s">
        <v>30</v>
      </c>
      <c r="K793">
        <v>0.17</v>
      </c>
      <c r="L793" t="s">
        <v>18</v>
      </c>
      <c r="M793" t="s">
        <v>19</v>
      </c>
      <c r="N793" t="s">
        <v>52</v>
      </c>
      <c r="O793" t="str">
        <f t="shared" si="60"/>
        <v>Feb</v>
      </c>
      <c r="P793" t="str">
        <f t="shared" si="61"/>
        <v>Thursday</v>
      </c>
      <c r="Q793">
        <f t="shared" si="62"/>
        <v>44364.695200000002</v>
      </c>
      <c r="R793">
        <f t="shared" si="63"/>
        <v>9670.760000000002</v>
      </c>
      <c r="S793">
        <f t="shared" si="64"/>
        <v>8026.7308000000012</v>
      </c>
    </row>
    <row r="794" spans="1:19"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c r="O794" t="str">
        <f t="shared" si="60"/>
        <v>May</v>
      </c>
      <c r="P794" t="str">
        <f t="shared" si="61"/>
        <v>Sunday</v>
      </c>
      <c r="Q794">
        <f t="shared" si="62"/>
        <v>96596.332799999989</v>
      </c>
      <c r="R794">
        <f t="shared" si="63"/>
        <v>5425.4199999997927</v>
      </c>
      <c r="S794">
        <f t="shared" si="64"/>
        <v>5208.4031999998006</v>
      </c>
    </row>
    <row r="795" spans="1:19" x14ac:dyDescent="0.3">
      <c r="A795">
        <v>1011</v>
      </c>
      <c r="B795" s="1">
        <v>45005</v>
      </c>
      <c r="C795" t="s">
        <v>14</v>
      </c>
      <c r="D795" t="s">
        <v>34</v>
      </c>
      <c r="E795">
        <v>3484.86</v>
      </c>
      <c r="F795">
        <v>2</v>
      </c>
      <c r="G795" t="s">
        <v>16</v>
      </c>
      <c r="H795">
        <v>4906.17</v>
      </c>
      <c r="I795">
        <v>5107.43</v>
      </c>
      <c r="J795" t="s">
        <v>17</v>
      </c>
      <c r="K795">
        <v>0.1</v>
      </c>
      <c r="L795" t="s">
        <v>18</v>
      </c>
      <c r="M795" t="s">
        <v>19</v>
      </c>
      <c r="N795" t="s">
        <v>46</v>
      </c>
      <c r="O795" t="str">
        <f t="shared" si="60"/>
        <v>Mar</v>
      </c>
      <c r="P795" t="str">
        <f t="shared" si="61"/>
        <v>Monday</v>
      </c>
      <c r="Q795">
        <f t="shared" si="62"/>
        <v>8831.1059999999998</v>
      </c>
      <c r="R795">
        <f t="shared" si="63"/>
        <v>402.52000000000044</v>
      </c>
      <c r="S795">
        <f t="shared" si="64"/>
        <v>362.26800000000043</v>
      </c>
    </row>
    <row r="796" spans="1:19" x14ac:dyDescent="0.3">
      <c r="A796">
        <v>1085</v>
      </c>
      <c r="B796" s="1">
        <v>44984</v>
      </c>
      <c r="C796" t="s">
        <v>38</v>
      </c>
      <c r="D796" t="s">
        <v>21</v>
      </c>
      <c r="E796">
        <v>5324.01</v>
      </c>
      <c r="F796">
        <v>45</v>
      </c>
      <c r="G796" t="s">
        <v>16</v>
      </c>
      <c r="H796">
        <v>3325.96</v>
      </c>
      <c r="I796">
        <v>3781.4</v>
      </c>
      <c r="J796" t="s">
        <v>17</v>
      </c>
      <c r="K796">
        <v>0.27</v>
      </c>
      <c r="L796" t="s">
        <v>31</v>
      </c>
      <c r="M796" t="s">
        <v>19</v>
      </c>
      <c r="N796" t="s">
        <v>41</v>
      </c>
      <c r="O796" t="str">
        <f t="shared" si="60"/>
        <v>Feb</v>
      </c>
      <c r="P796" t="str">
        <f t="shared" si="61"/>
        <v>Monday</v>
      </c>
      <c r="Q796">
        <f t="shared" si="62"/>
        <v>109257.78600000001</v>
      </c>
      <c r="R796">
        <f t="shared" si="63"/>
        <v>20494.800000000003</v>
      </c>
      <c r="S796">
        <f t="shared" si="64"/>
        <v>14961.204000000002</v>
      </c>
    </row>
    <row r="797" spans="1:19"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c r="O797" t="str">
        <f t="shared" si="60"/>
        <v>Jan</v>
      </c>
      <c r="P797" t="str">
        <f t="shared" si="61"/>
        <v>Thursday</v>
      </c>
      <c r="Q797">
        <f t="shared" si="62"/>
        <v>18011.883999999998</v>
      </c>
      <c r="R797">
        <f t="shared" si="63"/>
        <v>121.34999999999991</v>
      </c>
      <c r="S797">
        <f t="shared" si="64"/>
        <v>106.78799999999993</v>
      </c>
    </row>
    <row r="798" spans="1:19"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c r="O798" t="str">
        <f t="shared" si="60"/>
        <v>Aug</v>
      </c>
      <c r="P798" t="str">
        <f t="shared" si="61"/>
        <v>Monday</v>
      </c>
      <c r="Q798">
        <f t="shared" si="62"/>
        <v>79190.865000000005</v>
      </c>
      <c r="R798">
        <f t="shared" si="63"/>
        <v>10445.21999999999</v>
      </c>
      <c r="S798">
        <f t="shared" si="64"/>
        <v>8147.2715999999928</v>
      </c>
    </row>
    <row r="799" spans="1:19" x14ac:dyDescent="0.3">
      <c r="A799">
        <v>1089</v>
      </c>
      <c r="B799" s="1">
        <v>45211</v>
      </c>
      <c r="C799" t="s">
        <v>24</v>
      </c>
      <c r="D799" t="s">
        <v>25</v>
      </c>
      <c r="E799">
        <v>9813.07</v>
      </c>
      <c r="F799">
        <v>25</v>
      </c>
      <c r="G799" t="s">
        <v>16</v>
      </c>
      <c r="H799">
        <v>3512.69</v>
      </c>
      <c r="I799">
        <v>3964.63</v>
      </c>
      <c r="J799" t="s">
        <v>17</v>
      </c>
      <c r="K799">
        <v>0.03</v>
      </c>
      <c r="L799" t="s">
        <v>31</v>
      </c>
      <c r="M799" t="s">
        <v>22</v>
      </c>
      <c r="N799" t="s">
        <v>28</v>
      </c>
      <c r="O799" t="str">
        <f t="shared" si="60"/>
        <v>Oct</v>
      </c>
      <c r="P799" t="str">
        <f t="shared" si="61"/>
        <v>Thursday</v>
      </c>
      <c r="Q799">
        <f t="shared" si="62"/>
        <v>85182.732499999998</v>
      </c>
      <c r="R799">
        <f t="shared" si="63"/>
        <v>11298.500000000002</v>
      </c>
      <c r="S799">
        <f t="shared" si="64"/>
        <v>10959.545000000002</v>
      </c>
    </row>
    <row r="800" spans="1:19"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c r="O800" t="str">
        <f t="shared" si="60"/>
        <v>Jan</v>
      </c>
      <c r="P800" t="str">
        <f t="shared" si="61"/>
        <v>Wednesday</v>
      </c>
      <c r="Q800">
        <f t="shared" si="62"/>
        <v>11675.666399999998</v>
      </c>
      <c r="R800">
        <f t="shared" si="63"/>
        <v>1829.6800000000003</v>
      </c>
      <c r="S800">
        <f t="shared" si="64"/>
        <v>1701.6024000000002</v>
      </c>
    </row>
    <row r="801" spans="1:19" x14ac:dyDescent="0.3">
      <c r="A801">
        <v>1059</v>
      </c>
      <c r="B801" s="1">
        <v>45025</v>
      </c>
      <c r="C801" t="s">
        <v>33</v>
      </c>
      <c r="D801" t="s">
        <v>25</v>
      </c>
      <c r="E801">
        <v>8063.7</v>
      </c>
      <c r="F801">
        <v>1</v>
      </c>
      <c r="G801" t="s">
        <v>35</v>
      </c>
      <c r="H801">
        <v>332.62</v>
      </c>
      <c r="I801">
        <v>612.46</v>
      </c>
      <c r="J801" t="s">
        <v>17</v>
      </c>
      <c r="K801">
        <v>0.24</v>
      </c>
      <c r="L801" t="s">
        <v>18</v>
      </c>
      <c r="M801" t="s">
        <v>22</v>
      </c>
      <c r="N801" t="s">
        <v>44</v>
      </c>
      <c r="O801" t="str">
        <f t="shared" si="60"/>
        <v>Apr</v>
      </c>
      <c r="P801" t="str">
        <f t="shared" si="61"/>
        <v>Sunday</v>
      </c>
      <c r="Q801">
        <f t="shared" si="62"/>
        <v>252.7912</v>
      </c>
      <c r="R801">
        <f t="shared" si="63"/>
        <v>279.84000000000003</v>
      </c>
      <c r="S801">
        <f t="shared" si="64"/>
        <v>212.67840000000004</v>
      </c>
    </row>
    <row r="802" spans="1:19" x14ac:dyDescent="0.3">
      <c r="A802">
        <v>1027</v>
      </c>
      <c r="B802" s="1">
        <v>44965</v>
      </c>
      <c r="C802" t="s">
        <v>42</v>
      </c>
      <c r="D802" t="s">
        <v>21</v>
      </c>
      <c r="E802">
        <v>7179.49</v>
      </c>
      <c r="F802">
        <v>20</v>
      </c>
      <c r="G802" t="s">
        <v>35</v>
      </c>
      <c r="H802">
        <v>1748.11</v>
      </c>
      <c r="I802">
        <v>2220.9</v>
      </c>
      <c r="J802" t="s">
        <v>30</v>
      </c>
      <c r="K802">
        <v>0.23</v>
      </c>
      <c r="L802" t="s">
        <v>31</v>
      </c>
      <c r="M802" t="s">
        <v>22</v>
      </c>
      <c r="N802" t="s">
        <v>51</v>
      </c>
      <c r="O802" t="str">
        <f t="shared" si="60"/>
        <v>Feb</v>
      </c>
      <c r="P802" t="str">
        <f t="shared" si="61"/>
        <v>Wednesday</v>
      </c>
      <c r="Q802">
        <f t="shared" si="62"/>
        <v>26920.893999999997</v>
      </c>
      <c r="R802">
        <f t="shared" si="63"/>
        <v>9455.8000000000029</v>
      </c>
      <c r="S802">
        <f t="shared" si="64"/>
        <v>7280.9660000000022</v>
      </c>
    </row>
    <row r="803" spans="1:19" x14ac:dyDescent="0.3">
      <c r="A803">
        <v>1049</v>
      </c>
      <c r="B803" s="1">
        <v>45197</v>
      </c>
      <c r="C803" t="s">
        <v>42</v>
      </c>
      <c r="D803" t="s">
        <v>21</v>
      </c>
      <c r="E803">
        <v>5972.27</v>
      </c>
      <c r="F803">
        <v>44</v>
      </c>
      <c r="G803" t="s">
        <v>16</v>
      </c>
      <c r="H803">
        <v>3351.33</v>
      </c>
      <c r="I803">
        <v>3465.35</v>
      </c>
      <c r="J803" t="s">
        <v>17</v>
      </c>
      <c r="K803">
        <v>0.12</v>
      </c>
      <c r="L803" t="s">
        <v>27</v>
      </c>
      <c r="M803" t="s">
        <v>19</v>
      </c>
      <c r="N803" t="s">
        <v>51</v>
      </c>
      <c r="O803" t="str">
        <f t="shared" si="60"/>
        <v>Sep</v>
      </c>
      <c r="P803" t="str">
        <f t="shared" si="61"/>
        <v>Thursday</v>
      </c>
      <c r="Q803">
        <f t="shared" si="62"/>
        <v>129763.49759999999</v>
      </c>
      <c r="R803">
        <f t="shared" si="63"/>
        <v>5016.8799999999992</v>
      </c>
      <c r="S803">
        <f t="shared" si="64"/>
        <v>4414.8543999999993</v>
      </c>
    </row>
    <row r="804" spans="1:19"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c r="O804" t="str">
        <f t="shared" si="60"/>
        <v>Oct</v>
      </c>
      <c r="P804" t="str">
        <f t="shared" si="61"/>
        <v>Thursday</v>
      </c>
      <c r="Q804">
        <f t="shared" si="62"/>
        <v>9104.3015999999989</v>
      </c>
      <c r="R804">
        <f t="shared" si="63"/>
        <v>6092.01</v>
      </c>
      <c r="S804">
        <f t="shared" si="64"/>
        <v>4325.3270999999995</v>
      </c>
    </row>
    <row r="805" spans="1:19" x14ac:dyDescent="0.3">
      <c r="A805">
        <v>1033</v>
      </c>
      <c r="B805" s="1">
        <v>45083</v>
      </c>
      <c r="C805" t="s">
        <v>42</v>
      </c>
      <c r="D805" t="s">
        <v>34</v>
      </c>
      <c r="E805">
        <v>4602.17</v>
      </c>
      <c r="F805">
        <v>32</v>
      </c>
      <c r="G805" t="s">
        <v>26</v>
      </c>
      <c r="H805">
        <v>108.99</v>
      </c>
      <c r="I805">
        <v>351.6</v>
      </c>
      <c r="J805" t="s">
        <v>17</v>
      </c>
      <c r="K805">
        <v>0.27</v>
      </c>
      <c r="L805" t="s">
        <v>31</v>
      </c>
      <c r="M805" t="s">
        <v>22</v>
      </c>
      <c r="N805" t="s">
        <v>52</v>
      </c>
      <c r="O805" t="str">
        <f t="shared" si="60"/>
        <v>Jun</v>
      </c>
      <c r="P805" t="str">
        <f t="shared" si="61"/>
        <v>Tuesday</v>
      </c>
      <c r="Q805">
        <f t="shared" si="62"/>
        <v>2546.0063999999998</v>
      </c>
      <c r="R805">
        <f t="shared" si="63"/>
        <v>7763.52</v>
      </c>
      <c r="S805">
        <f t="shared" si="64"/>
        <v>5667.3696</v>
      </c>
    </row>
    <row r="806" spans="1:19"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c r="O806" t="str">
        <f t="shared" si="60"/>
        <v>Mar</v>
      </c>
      <c r="P806" t="str">
        <f t="shared" si="61"/>
        <v>Thursday</v>
      </c>
      <c r="Q806">
        <f t="shared" si="62"/>
        <v>5790.9588000000003</v>
      </c>
      <c r="R806">
        <f t="shared" si="63"/>
        <v>1502.71</v>
      </c>
      <c r="S806">
        <f t="shared" si="64"/>
        <v>1066.9241</v>
      </c>
    </row>
    <row r="807" spans="1:19" x14ac:dyDescent="0.3">
      <c r="A807">
        <v>1099</v>
      </c>
      <c r="B807" s="1">
        <v>45214</v>
      </c>
      <c r="C807" t="s">
        <v>24</v>
      </c>
      <c r="D807" t="s">
        <v>34</v>
      </c>
      <c r="E807">
        <v>6807.56</v>
      </c>
      <c r="F807">
        <v>39</v>
      </c>
      <c r="G807" t="s">
        <v>35</v>
      </c>
      <c r="H807">
        <v>3592.89</v>
      </c>
      <c r="I807">
        <v>4004</v>
      </c>
      <c r="J807" t="s">
        <v>30</v>
      </c>
      <c r="K807">
        <v>0.13</v>
      </c>
      <c r="L807" t="s">
        <v>18</v>
      </c>
      <c r="M807" t="s">
        <v>19</v>
      </c>
      <c r="N807" t="s">
        <v>50</v>
      </c>
      <c r="O807" t="str">
        <f t="shared" si="60"/>
        <v>Oct</v>
      </c>
      <c r="P807" t="str">
        <f t="shared" si="61"/>
        <v>Sunday</v>
      </c>
      <c r="Q807">
        <f t="shared" si="62"/>
        <v>121906.75769999999</v>
      </c>
      <c r="R807">
        <f t="shared" si="63"/>
        <v>16033.290000000005</v>
      </c>
      <c r="S807">
        <f t="shared" si="64"/>
        <v>13948.962300000005</v>
      </c>
    </row>
    <row r="808" spans="1:19" x14ac:dyDescent="0.3">
      <c r="A808">
        <v>1001</v>
      </c>
      <c r="B808" s="1">
        <v>45056</v>
      </c>
      <c r="C808" t="s">
        <v>24</v>
      </c>
      <c r="D808" t="s">
        <v>34</v>
      </c>
      <c r="E808">
        <v>3793.91</v>
      </c>
      <c r="F808">
        <v>47</v>
      </c>
      <c r="G808" t="s">
        <v>26</v>
      </c>
      <c r="H808">
        <v>4865.33</v>
      </c>
      <c r="I808">
        <v>5316.13</v>
      </c>
      <c r="J808" t="s">
        <v>30</v>
      </c>
      <c r="K808">
        <v>0.06</v>
      </c>
      <c r="L808" t="s">
        <v>27</v>
      </c>
      <c r="M808" t="s">
        <v>19</v>
      </c>
      <c r="N808" t="s">
        <v>50</v>
      </c>
      <c r="O808" t="str">
        <f t="shared" si="60"/>
        <v>May</v>
      </c>
      <c r="P808" t="str">
        <f t="shared" si="61"/>
        <v>Wednesday</v>
      </c>
      <c r="Q808">
        <f t="shared" si="62"/>
        <v>214950.2794</v>
      </c>
      <c r="R808">
        <f t="shared" si="63"/>
        <v>21187.600000000009</v>
      </c>
      <c r="S808">
        <f t="shared" si="64"/>
        <v>19916.344000000008</v>
      </c>
    </row>
    <row r="809" spans="1:19" x14ac:dyDescent="0.3">
      <c r="A809">
        <v>1021</v>
      </c>
      <c r="B809" s="1">
        <v>45101</v>
      </c>
      <c r="C809" t="s">
        <v>42</v>
      </c>
      <c r="D809" t="s">
        <v>21</v>
      </c>
      <c r="E809">
        <v>9422.75</v>
      </c>
      <c r="F809">
        <v>24</v>
      </c>
      <c r="G809" t="s">
        <v>35</v>
      </c>
      <c r="H809">
        <v>4916.17</v>
      </c>
      <c r="I809">
        <v>5309.32</v>
      </c>
      <c r="J809" t="s">
        <v>17</v>
      </c>
      <c r="K809">
        <v>0.19</v>
      </c>
      <c r="L809" t="s">
        <v>31</v>
      </c>
      <c r="M809" t="s">
        <v>19</v>
      </c>
      <c r="N809" t="s">
        <v>51</v>
      </c>
      <c r="O809" t="str">
        <f t="shared" si="60"/>
        <v>Jun</v>
      </c>
      <c r="P809" t="str">
        <f t="shared" si="61"/>
        <v>Saturday</v>
      </c>
      <c r="Q809">
        <f t="shared" si="62"/>
        <v>95570.344800000006</v>
      </c>
      <c r="R809">
        <f t="shared" si="63"/>
        <v>9435.5999999999913</v>
      </c>
      <c r="S809">
        <f t="shared" si="64"/>
        <v>7642.8359999999939</v>
      </c>
    </row>
    <row r="810" spans="1:19"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c r="O810" t="str">
        <f t="shared" si="60"/>
        <v>Mar</v>
      </c>
      <c r="P810" t="str">
        <f t="shared" si="61"/>
        <v>Saturday</v>
      </c>
      <c r="Q810">
        <f t="shared" si="62"/>
        <v>21683.288</v>
      </c>
      <c r="R810">
        <f t="shared" si="63"/>
        <v>1163.0300000000002</v>
      </c>
      <c r="S810">
        <f t="shared" si="64"/>
        <v>918.79370000000017</v>
      </c>
    </row>
    <row r="811" spans="1:19"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c r="O811" t="str">
        <f t="shared" si="60"/>
        <v>Jan</v>
      </c>
      <c r="P811" t="str">
        <f t="shared" si="61"/>
        <v>Sunday</v>
      </c>
      <c r="Q811">
        <f t="shared" si="62"/>
        <v>121195.59359999999</v>
      </c>
      <c r="R811">
        <f t="shared" si="63"/>
        <v>1522.7900000000063</v>
      </c>
      <c r="S811">
        <f t="shared" si="64"/>
        <v>1461.878400000006</v>
      </c>
    </row>
    <row r="812" spans="1:19" x14ac:dyDescent="0.3">
      <c r="A812">
        <v>1092</v>
      </c>
      <c r="B812" s="1">
        <v>44953</v>
      </c>
      <c r="C812" t="s">
        <v>24</v>
      </c>
      <c r="D812" t="s">
        <v>21</v>
      </c>
      <c r="E812">
        <v>6939.75</v>
      </c>
      <c r="F812">
        <v>26</v>
      </c>
      <c r="G812" t="s">
        <v>16</v>
      </c>
      <c r="H812">
        <v>3697.29</v>
      </c>
      <c r="I812">
        <v>4003.96</v>
      </c>
      <c r="J812" t="s">
        <v>30</v>
      </c>
      <c r="K812">
        <v>0.24</v>
      </c>
      <c r="L812" t="s">
        <v>18</v>
      </c>
      <c r="M812" t="s">
        <v>19</v>
      </c>
      <c r="N812" t="s">
        <v>47</v>
      </c>
      <c r="O812" t="str">
        <f t="shared" si="60"/>
        <v>Jan</v>
      </c>
      <c r="P812" t="str">
        <f t="shared" si="61"/>
        <v>Friday</v>
      </c>
      <c r="Q812">
        <f t="shared" si="62"/>
        <v>73058.450400000002</v>
      </c>
      <c r="R812">
        <f t="shared" si="63"/>
        <v>7973.4200000000019</v>
      </c>
      <c r="S812">
        <f t="shared" si="64"/>
        <v>6059.7992000000013</v>
      </c>
    </row>
    <row r="813" spans="1:19" x14ac:dyDescent="0.3">
      <c r="A813">
        <v>1081</v>
      </c>
      <c r="B813" s="1">
        <v>45121</v>
      </c>
      <c r="C813" t="s">
        <v>38</v>
      </c>
      <c r="D813" t="s">
        <v>15</v>
      </c>
      <c r="E813">
        <v>7001.64</v>
      </c>
      <c r="F813">
        <v>16</v>
      </c>
      <c r="G813" t="s">
        <v>29</v>
      </c>
      <c r="H813">
        <v>2530.15</v>
      </c>
      <c r="I813">
        <v>2568.13</v>
      </c>
      <c r="J813" t="s">
        <v>30</v>
      </c>
      <c r="K813">
        <v>0.01</v>
      </c>
      <c r="L813" t="s">
        <v>31</v>
      </c>
      <c r="M813" t="s">
        <v>19</v>
      </c>
      <c r="N813" t="s">
        <v>40</v>
      </c>
      <c r="O813" t="str">
        <f t="shared" si="60"/>
        <v>Jul</v>
      </c>
      <c r="P813" t="str">
        <f t="shared" si="61"/>
        <v>Friday</v>
      </c>
      <c r="Q813">
        <f t="shared" si="62"/>
        <v>40077.576000000001</v>
      </c>
      <c r="R813">
        <f t="shared" si="63"/>
        <v>607.68000000000029</v>
      </c>
      <c r="S813">
        <f t="shared" si="64"/>
        <v>601.60320000000024</v>
      </c>
    </row>
    <row r="814" spans="1:19"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c r="O814" t="str">
        <f t="shared" si="60"/>
        <v>Dec</v>
      </c>
      <c r="P814" t="str">
        <f t="shared" si="61"/>
        <v>Sunday</v>
      </c>
      <c r="Q814">
        <f t="shared" si="62"/>
        <v>86843.315999999992</v>
      </c>
      <c r="R814">
        <f t="shared" si="63"/>
        <v>11888.799999999661</v>
      </c>
      <c r="S814">
        <f t="shared" si="64"/>
        <v>10224.367999999708</v>
      </c>
    </row>
    <row r="815" spans="1:19" x14ac:dyDescent="0.3">
      <c r="A815">
        <v>1095</v>
      </c>
      <c r="B815" s="1">
        <v>45162</v>
      </c>
      <c r="C815" t="s">
        <v>14</v>
      </c>
      <c r="D815" t="s">
        <v>21</v>
      </c>
      <c r="E815">
        <v>2825.35</v>
      </c>
      <c r="F815">
        <v>20</v>
      </c>
      <c r="G815" t="s">
        <v>26</v>
      </c>
      <c r="H815">
        <v>729.27</v>
      </c>
      <c r="I815">
        <v>999.18</v>
      </c>
      <c r="J815" t="s">
        <v>30</v>
      </c>
      <c r="K815">
        <v>0.1</v>
      </c>
      <c r="L815" t="s">
        <v>27</v>
      </c>
      <c r="M815" t="s">
        <v>19</v>
      </c>
      <c r="N815" t="s">
        <v>23</v>
      </c>
      <c r="O815" t="str">
        <f t="shared" si="60"/>
        <v>Aug</v>
      </c>
      <c r="P815" t="str">
        <f t="shared" si="61"/>
        <v>Thursday</v>
      </c>
      <c r="Q815">
        <f t="shared" si="62"/>
        <v>13126.86</v>
      </c>
      <c r="R815">
        <f t="shared" si="63"/>
        <v>5398.1999999999989</v>
      </c>
      <c r="S815">
        <f t="shared" si="64"/>
        <v>4858.3799999999992</v>
      </c>
    </row>
    <row r="816" spans="1:19"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c r="O816" t="str">
        <f t="shared" si="60"/>
        <v>Apr</v>
      </c>
      <c r="P816" t="str">
        <f t="shared" si="61"/>
        <v>Sunday</v>
      </c>
      <c r="Q816">
        <f t="shared" si="62"/>
        <v>168328.1496</v>
      </c>
      <c r="R816">
        <f t="shared" si="63"/>
        <v>15399.419999999978</v>
      </c>
      <c r="S816">
        <f t="shared" si="64"/>
        <v>12011.547599999984</v>
      </c>
    </row>
    <row r="817" spans="1:19" x14ac:dyDescent="0.3">
      <c r="A817">
        <v>1003</v>
      </c>
      <c r="B817" s="1">
        <v>44947</v>
      </c>
      <c r="C817" t="s">
        <v>33</v>
      </c>
      <c r="D817" t="s">
        <v>15</v>
      </c>
      <c r="E817">
        <v>6395.81</v>
      </c>
      <c r="F817">
        <v>3</v>
      </c>
      <c r="G817" t="s">
        <v>16</v>
      </c>
      <c r="H817">
        <v>1792.05</v>
      </c>
      <c r="I817">
        <v>2091.23</v>
      </c>
      <c r="J817" t="s">
        <v>17</v>
      </c>
      <c r="K817">
        <v>0.09</v>
      </c>
      <c r="L817" t="s">
        <v>18</v>
      </c>
      <c r="M817" t="s">
        <v>22</v>
      </c>
      <c r="N817" t="s">
        <v>53</v>
      </c>
      <c r="O817" t="str">
        <f t="shared" si="60"/>
        <v>Jan</v>
      </c>
      <c r="P817" t="str">
        <f t="shared" si="61"/>
        <v>Saturday</v>
      </c>
      <c r="Q817">
        <f t="shared" si="62"/>
        <v>4892.2964999999995</v>
      </c>
      <c r="R817">
        <f t="shared" si="63"/>
        <v>897.54000000000019</v>
      </c>
      <c r="S817">
        <f t="shared" si="64"/>
        <v>816.76140000000021</v>
      </c>
    </row>
    <row r="818" spans="1:19" x14ac:dyDescent="0.3">
      <c r="A818">
        <v>1053</v>
      </c>
      <c r="B818" s="1">
        <v>45229</v>
      </c>
      <c r="C818" t="s">
        <v>24</v>
      </c>
      <c r="D818" t="s">
        <v>15</v>
      </c>
      <c r="E818">
        <v>6033.09</v>
      </c>
      <c r="F818">
        <v>1</v>
      </c>
      <c r="G818" t="s">
        <v>26</v>
      </c>
      <c r="H818">
        <v>2258.44</v>
      </c>
      <c r="I818">
        <v>2475.56</v>
      </c>
      <c r="J818" t="s">
        <v>30</v>
      </c>
      <c r="K818">
        <v>0.25</v>
      </c>
      <c r="L818" t="s">
        <v>18</v>
      </c>
      <c r="M818" t="s">
        <v>19</v>
      </c>
      <c r="N818" t="s">
        <v>45</v>
      </c>
      <c r="O818" t="str">
        <f t="shared" si="60"/>
        <v>Oct</v>
      </c>
      <c r="P818" t="str">
        <f t="shared" si="61"/>
        <v>Monday</v>
      </c>
      <c r="Q818">
        <f t="shared" si="62"/>
        <v>1693.83</v>
      </c>
      <c r="R818">
        <f t="shared" si="63"/>
        <v>217.11999999999989</v>
      </c>
      <c r="S818">
        <f t="shared" si="64"/>
        <v>162.83999999999992</v>
      </c>
    </row>
    <row r="819" spans="1:19"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c r="O819" t="str">
        <f t="shared" si="60"/>
        <v>Dec</v>
      </c>
      <c r="P819" t="str">
        <f t="shared" si="61"/>
        <v>Saturday</v>
      </c>
      <c r="Q819">
        <f t="shared" si="62"/>
        <v>130061.70880000001</v>
      </c>
      <c r="R819">
        <f t="shared" si="63"/>
        <v>5096.2099999995435</v>
      </c>
      <c r="S819">
        <f t="shared" si="64"/>
        <v>4178.8921999996255</v>
      </c>
    </row>
    <row r="820" spans="1:19" x14ac:dyDescent="0.3">
      <c r="A820">
        <v>1053</v>
      </c>
      <c r="B820" s="1">
        <v>45010</v>
      </c>
      <c r="C820" t="s">
        <v>14</v>
      </c>
      <c r="D820" t="s">
        <v>34</v>
      </c>
      <c r="E820">
        <v>7080.88</v>
      </c>
      <c r="F820">
        <v>1</v>
      </c>
      <c r="G820" t="s">
        <v>29</v>
      </c>
      <c r="H820">
        <v>1702.82</v>
      </c>
      <c r="I820">
        <v>1862.61</v>
      </c>
      <c r="J820" t="s">
        <v>17</v>
      </c>
      <c r="K820">
        <v>0.24</v>
      </c>
      <c r="L820" t="s">
        <v>18</v>
      </c>
      <c r="M820" t="s">
        <v>22</v>
      </c>
      <c r="N820" t="s">
        <v>46</v>
      </c>
      <c r="O820" t="str">
        <f t="shared" si="60"/>
        <v>Mar</v>
      </c>
      <c r="P820" t="str">
        <f t="shared" si="61"/>
        <v>Saturday</v>
      </c>
      <c r="Q820">
        <f t="shared" si="62"/>
        <v>1294.1432</v>
      </c>
      <c r="R820">
        <f t="shared" si="63"/>
        <v>159.78999999999996</v>
      </c>
      <c r="S820">
        <f t="shared" si="64"/>
        <v>121.44039999999997</v>
      </c>
    </row>
    <row r="821" spans="1:19" x14ac:dyDescent="0.3">
      <c r="A821">
        <v>1037</v>
      </c>
      <c r="B821" s="1">
        <v>45188</v>
      </c>
      <c r="C821" t="s">
        <v>42</v>
      </c>
      <c r="D821" t="s">
        <v>25</v>
      </c>
      <c r="E821">
        <v>4606.2</v>
      </c>
      <c r="F821">
        <v>17</v>
      </c>
      <c r="G821" t="s">
        <v>35</v>
      </c>
      <c r="H821">
        <v>1308.58</v>
      </c>
      <c r="I821">
        <v>1575.59</v>
      </c>
      <c r="J821" t="s">
        <v>30</v>
      </c>
      <c r="K821">
        <v>0.3</v>
      </c>
      <c r="L821" t="s">
        <v>18</v>
      </c>
      <c r="M821" t="s">
        <v>19</v>
      </c>
      <c r="N821" t="s">
        <v>43</v>
      </c>
      <c r="O821" t="str">
        <f t="shared" si="60"/>
        <v>Sep</v>
      </c>
      <c r="P821" t="str">
        <f t="shared" si="61"/>
        <v>Tuesday</v>
      </c>
      <c r="Q821">
        <f t="shared" si="62"/>
        <v>15572.101999999999</v>
      </c>
      <c r="R821">
        <f t="shared" si="63"/>
        <v>4539.17</v>
      </c>
      <c r="S821">
        <f t="shared" si="64"/>
        <v>3177.4189999999999</v>
      </c>
    </row>
    <row r="822" spans="1:19" x14ac:dyDescent="0.3">
      <c r="A822">
        <v>1074</v>
      </c>
      <c r="B822" s="1">
        <v>45073</v>
      </c>
      <c r="C822" t="s">
        <v>38</v>
      </c>
      <c r="D822" t="s">
        <v>21</v>
      </c>
      <c r="E822">
        <v>6710.83</v>
      </c>
      <c r="F822">
        <v>2</v>
      </c>
      <c r="G822" t="s">
        <v>26</v>
      </c>
      <c r="H822">
        <v>3173.69</v>
      </c>
      <c r="I822">
        <v>3503.11</v>
      </c>
      <c r="J822" t="s">
        <v>30</v>
      </c>
      <c r="K822">
        <v>0.2</v>
      </c>
      <c r="L822" t="s">
        <v>27</v>
      </c>
      <c r="M822" t="s">
        <v>22</v>
      </c>
      <c r="N822" t="s">
        <v>41</v>
      </c>
      <c r="O822" t="str">
        <f t="shared" si="60"/>
        <v>May</v>
      </c>
      <c r="P822" t="str">
        <f t="shared" si="61"/>
        <v>Saturday</v>
      </c>
      <c r="Q822">
        <f t="shared" si="62"/>
        <v>5077.9040000000005</v>
      </c>
      <c r="R822">
        <f t="shared" si="63"/>
        <v>658.84000000000015</v>
      </c>
      <c r="S822">
        <f t="shared" si="64"/>
        <v>527.07200000000012</v>
      </c>
    </row>
    <row r="823" spans="1:19" x14ac:dyDescent="0.3">
      <c r="A823">
        <v>1074</v>
      </c>
      <c r="B823" s="1">
        <v>45183</v>
      </c>
      <c r="C823" t="s">
        <v>24</v>
      </c>
      <c r="D823" t="s">
        <v>25</v>
      </c>
      <c r="E823">
        <v>8389.93</v>
      </c>
      <c r="F823">
        <v>29</v>
      </c>
      <c r="G823" t="s">
        <v>16</v>
      </c>
      <c r="H823">
        <v>173.67</v>
      </c>
      <c r="I823">
        <v>565.62</v>
      </c>
      <c r="J823" t="s">
        <v>17</v>
      </c>
      <c r="K823">
        <v>0.3</v>
      </c>
      <c r="L823" t="s">
        <v>18</v>
      </c>
      <c r="M823" t="s">
        <v>19</v>
      </c>
      <c r="N823" t="s">
        <v>28</v>
      </c>
      <c r="O823" t="str">
        <f t="shared" si="60"/>
        <v>Sep</v>
      </c>
      <c r="P823" t="str">
        <f t="shared" si="61"/>
        <v>Thursday</v>
      </c>
      <c r="Q823">
        <f t="shared" si="62"/>
        <v>3525.5009999999993</v>
      </c>
      <c r="R823">
        <f t="shared" si="63"/>
        <v>11366.550000000001</v>
      </c>
      <c r="S823">
        <f t="shared" si="64"/>
        <v>7956.585</v>
      </c>
    </row>
    <row r="824" spans="1:19" x14ac:dyDescent="0.3">
      <c r="A824">
        <v>1083</v>
      </c>
      <c r="B824" s="1">
        <v>44984</v>
      </c>
      <c r="C824" t="s">
        <v>42</v>
      </c>
      <c r="D824" t="s">
        <v>21</v>
      </c>
      <c r="E824">
        <v>1780.31</v>
      </c>
      <c r="F824">
        <v>20</v>
      </c>
      <c r="G824" t="s">
        <v>29</v>
      </c>
      <c r="H824">
        <v>3617.59</v>
      </c>
      <c r="I824">
        <v>4003.5</v>
      </c>
      <c r="J824" t="s">
        <v>30</v>
      </c>
      <c r="K824">
        <v>0.01</v>
      </c>
      <c r="L824" t="s">
        <v>31</v>
      </c>
      <c r="M824" t="s">
        <v>22</v>
      </c>
      <c r="N824" t="s">
        <v>51</v>
      </c>
      <c r="O824" t="str">
        <f t="shared" si="60"/>
        <v>Feb</v>
      </c>
      <c r="P824" t="str">
        <f t="shared" si="61"/>
        <v>Monday</v>
      </c>
      <c r="Q824">
        <f t="shared" si="62"/>
        <v>71628.282000000007</v>
      </c>
      <c r="R824">
        <f t="shared" si="63"/>
        <v>7718.1999999999971</v>
      </c>
      <c r="S824">
        <f t="shared" si="64"/>
        <v>7641.0179999999973</v>
      </c>
    </row>
    <row r="825" spans="1:19" x14ac:dyDescent="0.3">
      <c r="A825">
        <v>1017</v>
      </c>
      <c r="B825" s="1">
        <v>44941</v>
      </c>
      <c r="C825" t="s">
        <v>38</v>
      </c>
      <c r="D825" t="s">
        <v>15</v>
      </c>
      <c r="E825">
        <v>289.52999999999997</v>
      </c>
      <c r="F825">
        <v>6</v>
      </c>
      <c r="G825" t="s">
        <v>16</v>
      </c>
      <c r="H825">
        <v>2594.42</v>
      </c>
      <c r="I825">
        <v>3081.04</v>
      </c>
      <c r="J825" t="s">
        <v>17</v>
      </c>
      <c r="K825">
        <v>0.1</v>
      </c>
      <c r="L825" t="s">
        <v>27</v>
      </c>
      <c r="M825" t="s">
        <v>22</v>
      </c>
      <c r="N825" t="s">
        <v>40</v>
      </c>
      <c r="O825" t="str">
        <f t="shared" si="60"/>
        <v>Jan</v>
      </c>
      <c r="P825" t="str">
        <f t="shared" si="61"/>
        <v>Sunday</v>
      </c>
      <c r="Q825">
        <f t="shared" si="62"/>
        <v>14009.868</v>
      </c>
      <c r="R825">
        <f t="shared" si="63"/>
        <v>2919.7199999999993</v>
      </c>
      <c r="S825">
        <f t="shared" si="64"/>
        <v>2627.7479999999996</v>
      </c>
    </row>
    <row r="826" spans="1:19" x14ac:dyDescent="0.3">
      <c r="A826">
        <v>1085</v>
      </c>
      <c r="B826" s="1">
        <v>45088</v>
      </c>
      <c r="C826" t="s">
        <v>24</v>
      </c>
      <c r="D826" t="s">
        <v>34</v>
      </c>
      <c r="E826">
        <v>7813.12</v>
      </c>
      <c r="F826">
        <v>8</v>
      </c>
      <c r="G826" t="s">
        <v>26</v>
      </c>
      <c r="H826">
        <v>3048.48</v>
      </c>
      <c r="I826">
        <v>3198.54</v>
      </c>
      <c r="J826" t="s">
        <v>17</v>
      </c>
      <c r="K826">
        <v>0.03</v>
      </c>
      <c r="L826" t="s">
        <v>27</v>
      </c>
      <c r="M826" t="s">
        <v>19</v>
      </c>
      <c r="N826" t="s">
        <v>50</v>
      </c>
      <c r="O826" t="str">
        <f t="shared" si="60"/>
        <v>Jun</v>
      </c>
      <c r="P826" t="str">
        <f t="shared" si="61"/>
        <v>Sunday</v>
      </c>
      <c r="Q826">
        <f t="shared" si="62"/>
        <v>23656.2048</v>
      </c>
      <c r="R826">
        <f t="shared" si="63"/>
        <v>1200.4799999999996</v>
      </c>
      <c r="S826">
        <f t="shared" si="64"/>
        <v>1164.4655999999995</v>
      </c>
    </row>
    <row r="827" spans="1:19" x14ac:dyDescent="0.3">
      <c r="A827">
        <v>1078</v>
      </c>
      <c r="B827" s="1">
        <v>45089</v>
      </c>
      <c r="C827" t="s">
        <v>33</v>
      </c>
      <c r="D827" t="s">
        <v>25</v>
      </c>
      <c r="E827">
        <v>6136</v>
      </c>
      <c r="F827">
        <v>29</v>
      </c>
      <c r="G827" t="s">
        <v>35</v>
      </c>
      <c r="H827">
        <v>3177.81</v>
      </c>
      <c r="I827">
        <v>3222.65</v>
      </c>
      <c r="J827" t="s">
        <v>17</v>
      </c>
      <c r="K827">
        <v>0.08</v>
      </c>
      <c r="L827" t="s">
        <v>31</v>
      </c>
      <c r="M827" t="s">
        <v>22</v>
      </c>
      <c r="N827" t="s">
        <v>44</v>
      </c>
      <c r="O827" t="str">
        <f t="shared" si="60"/>
        <v>Jun</v>
      </c>
      <c r="P827" t="str">
        <f t="shared" si="61"/>
        <v>Monday</v>
      </c>
      <c r="Q827">
        <f t="shared" si="62"/>
        <v>84783.97080000001</v>
      </c>
      <c r="R827">
        <f t="shared" si="63"/>
        <v>1300.3600000000042</v>
      </c>
      <c r="S827">
        <f t="shared" si="64"/>
        <v>1196.3312000000039</v>
      </c>
    </row>
    <row r="828" spans="1:19" x14ac:dyDescent="0.3">
      <c r="A828">
        <v>1073</v>
      </c>
      <c r="B828" s="1">
        <v>45246</v>
      </c>
      <c r="C828" t="s">
        <v>24</v>
      </c>
      <c r="D828" t="s">
        <v>25</v>
      </c>
      <c r="E828">
        <v>7026.43</v>
      </c>
      <c r="F828">
        <v>48</v>
      </c>
      <c r="G828" t="s">
        <v>29</v>
      </c>
      <c r="H828">
        <v>2658.9</v>
      </c>
      <c r="I828">
        <v>2838.27</v>
      </c>
      <c r="J828" t="s">
        <v>30</v>
      </c>
      <c r="K828">
        <v>0.25</v>
      </c>
      <c r="L828" t="s">
        <v>31</v>
      </c>
      <c r="M828" t="s">
        <v>19</v>
      </c>
      <c r="N828" t="s">
        <v>28</v>
      </c>
      <c r="O828" t="str">
        <f t="shared" si="60"/>
        <v>Nov</v>
      </c>
      <c r="P828" t="str">
        <f t="shared" si="61"/>
        <v>Thursday</v>
      </c>
      <c r="Q828">
        <f t="shared" si="62"/>
        <v>95720.400000000009</v>
      </c>
      <c r="R828">
        <f t="shared" si="63"/>
        <v>8609.7599999999948</v>
      </c>
      <c r="S828">
        <f t="shared" si="64"/>
        <v>6457.3199999999961</v>
      </c>
    </row>
    <row r="829" spans="1:19" x14ac:dyDescent="0.3">
      <c r="A829">
        <v>1001</v>
      </c>
      <c r="B829" s="1">
        <v>45207</v>
      </c>
      <c r="C829" t="s">
        <v>14</v>
      </c>
      <c r="D829" t="s">
        <v>21</v>
      </c>
      <c r="E829">
        <v>8397.73</v>
      </c>
      <c r="F829">
        <v>33</v>
      </c>
      <c r="G829" t="s">
        <v>16</v>
      </c>
      <c r="H829">
        <v>2933.54</v>
      </c>
      <c r="I829">
        <v>3307.75</v>
      </c>
      <c r="J829" t="s">
        <v>17</v>
      </c>
      <c r="K829">
        <v>0.01</v>
      </c>
      <c r="L829" t="s">
        <v>27</v>
      </c>
      <c r="M829" t="s">
        <v>22</v>
      </c>
      <c r="N829" t="s">
        <v>23</v>
      </c>
      <c r="O829" t="str">
        <f t="shared" si="60"/>
        <v>Oct</v>
      </c>
      <c r="P829" t="str">
        <f t="shared" si="61"/>
        <v>Sunday</v>
      </c>
      <c r="Q829">
        <f t="shared" si="62"/>
        <v>95838.751799999998</v>
      </c>
      <c r="R829">
        <f t="shared" si="63"/>
        <v>12348.93</v>
      </c>
      <c r="S829">
        <f t="shared" si="64"/>
        <v>12225.440700000001</v>
      </c>
    </row>
    <row r="830" spans="1:19" x14ac:dyDescent="0.3">
      <c r="A830">
        <v>1051</v>
      </c>
      <c r="B830" s="1">
        <v>45206</v>
      </c>
      <c r="C830" t="s">
        <v>14</v>
      </c>
      <c r="D830" t="s">
        <v>21</v>
      </c>
      <c r="E830">
        <v>8047.83</v>
      </c>
      <c r="F830">
        <v>3</v>
      </c>
      <c r="G830" t="s">
        <v>16</v>
      </c>
      <c r="H830">
        <v>3434.75</v>
      </c>
      <c r="I830">
        <v>3659.42</v>
      </c>
      <c r="J830" t="s">
        <v>30</v>
      </c>
      <c r="K830">
        <v>0.16</v>
      </c>
      <c r="L830" t="s">
        <v>18</v>
      </c>
      <c r="M830" t="s">
        <v>19</v>
      </c>
      <c r="N830" t="s">
        <v>23</v>
      </c>
      <c r="O830" t="str">
        <f t="shared" si="60"/>
        <v>Oct</v>
      </c>
      <c r="P830" t="str">
        <f t="shared" si="61"/>
        <v>Saturday</v>
      </c>
      <c r="Q830">
        <f t="shared" si="62"/>
        <v>8655.57</v>
      </c>
      <c r="R830">
        <f t="shared" si="63"/>
        <v>674.01000000000022</v>
      </c>
      <c r="S830">
        <f t="shared" si="64"/>
        <v>566.16840000000013</v>
      </c>
    </row>
    <row r="831" spans="1:19" x14ac:dyDescent="0.3">
      <c r="A831">
        <v>1045</v>
      </c>
      <c r="B831" s="1">
        <v>44938</v>
      </c>
      <c r="C831" t="s">
        <v>33</v>
      </c>
      <c r="D831" t="s">
        <v>25</v>
      </c>
      <c r="E831">
        <v>9613.11</v>
      </c>
      <c r="F831">
        <v>35</v>
      </c>
      <c r="G831" t="s">
        <v>16</v>
      </c>
      <c r="H831">
        <v>3777.94</v>
      </c>
      <c r="I831">
        <v>4188.66</v>
      </c>
      <c r="J831" t="s">
        <v>30</v>
      </c>
      <c r="K831">
        <v>0.17</v>
      </c>
      <c r="L831" t="s">
        <v>27</v>
      </c>
      <c r="M831" t="s">
        <v>19</v>
      </c>
      <c r="N831" t="s">
        <v>44</v>
      </c>
      <c r="O831" t="str">
        <f t="shared" si="60"/>
        <v>Jan</v>
      </c>
      <c r="P831" t="str">
        <f t="shared" si="61"/>
        <v>Thursday</v>
      </c>
      <c r="Q831">
        <f t="shared" si="62"/>
        <v>109749.15699999999</v>
      </c>
      <c r="R831">
        <f t="shared" si="63"/>
        <v>14375.199999999993</v>
      </c>
      <c r="S831">
        <f t="shared" si="64"/>
        <v>11931.415999999994</v>
      </c>
    </row>
    <row r="832" spans="1:19" x14ac:dyDescent="0.3">
      <c r="A832">
        <v>1077</v>
      </c>
      <c r="B832" s="1">
        <v>45200</v>
      </c>
      <c r="C832" t="s">
        <v>42</v>
      </c>
      <c r="D832" t="s">
        <v>21</v>
      </c>
      <c r="E832">
        <v>5405.76</v>
      </c>
      <c r="F832">
        <v>5</v>
      </c>
      <c r="G832" t="s">
        <v>35</v>
      </c>
      <c r="H832">
        <v>3650.89</v>
      </c>
      <c r="I832">
        <v>3930.06</v>
      </c>
      <c r="J832" t="s">
        <v>30</v>
      </c>
      <c r="K832">
        <v>0.17</v>
      </c>
      <c r="L832" t="s">
        <v>27</v>
      </c>
      <c r="M832" t="s">
        <v>19</v>
      </c>
      <c r="N832" t="s">
        <v>51</v>
      </c>
      <c r="O832" t="str">
        <f t="shared" si="60"/>
        <v>Oct</v>
      </c>
      <c r="P832" t="str">
        <f t="shared" si="61"/>
        <v>Sunday</v>
      </c>
      <c r="Q832">
        <f t="shared" si="62"/>
        <v>15151.193499999999</v>
      </c>
      <c r="R832">
        <f t="shared" si="63"/>
        <v>1395.8500000000004</v>
      </c>
      <c r="S832">
        <f t="shared" si="64"/>
        <v>1158.5555000000002</v>
      </c>
    </row>
    <row r="833" spans="1:19"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c r="O833" t="str">
        <f t="shared" si="60"/>
        <v>Sep</v>
      </c>
      <c r="P833" t="str">
        <f t="shared" si="61"/>
        <v>Thursday</v>
      </c>
      <c r="Q833">
        <f t="shared" si="62"/>
        <v>101113.81200000001</v>
      </c>
      <c r="R833">
        <f t="shared" si="63"/>
        <v>12571.199999999986</v>
      </c>
      <c r="S833">
        <f t="shared" si="64"/>
        <v>10811.231999999987</v>
      </c>
    </row>
    <row r="834" spans="1:19" x14ac:dyDescent="0.3">
      <c r="A834">
        <v>1062</v>
      </c>
      <c r="B834" s="1">
        <v>45134</v>
      </c>
      <c r="C834" t="s">
        <v>24</v>
      </c>
      <c r="D834" t="s">
        <v>25</v>
      </c>
      <c r="E834">
        <v>4078.68</v>
      </c>
      <c r="F834">
        <v>44</v>
      </c>
      <c r="G834" t="s">
        <v>35</v>
      </c>
      <c r="H834">
        <v>987.74</v>
      </c>
      <c r="I834">
        <v>1462.19</v>
      </c>
      <c r="J834" t="s">
        <v>30</v>
      </c>
      <c r="K834">
        <v>0.24</v>
      </c>
      <c r="L834" t="s">
        <v>27</v>
      </c>
      <c r="M834" t="s">
        <v>19</v>
      </c>
      <c r="N834" t="s">
        <v>28</v>
      </c>
      <c r="O834" t="str">
        <f t="shared" si="60"/>
        <v>Jul</v>
      </c>
      <c r="P834" t="str">
        <f t="shared" si="61"/>
        <v>Thursday</v>
      </c>
      <c r="Q834">
        <f t="shared" si="62"/>
        <v>33030.025600000001</v>
      </c>
      <c r="R834">
        <f t="shared" si="63"/>
        <v>20875.800000000003</v>
      </c>
      <c r="S834">
        <f t="shared" si="64"/>
        <v>15865.608000000002</v>
      </c>
    </row>
    <row r="835" spans="1:19" x14ac:dyDescent="0.3">
      <c r="A835">
        <v>1065</v>
      </c>
      <c r="B835" s="1">
        <v>44953</v>
      </c>
      <c r="C835" t="s">
        <v>14</v>
      </c>
      <c r="D835" t="s">
        <v>25</v>
      </c>
      <c r="E835">
        <v>1621.54</v>
      </c>
      <c r="F835">
        <v>12</v>
      </c>
      <c r="G835" t="s">
        <v>35</v>
      </c>
      <c r="H835">
        <v>2035.68</v>
      </c>
      <c r="I835">
        <v>2079.64</v>
      </c>
      <c r="J835" t="s">
        <v>17</v>
      </c>
      <c r="K835">
        <v>0.04</v>
      </c>
      <c r="L835" t="s">
        <v>18</v>
      </c>
      <c r="M835" t="s">
        <v>19</v>
      </c>
      <c r="N835" t="s">
        <v>32</v>
      </c>
      <c r="O835" t="str">
        <f t="shared" ref="O835:O898" si="65">TEXT(B835,"mmm")</f>
        <v>Jan</v>
      </c>
      <c r="P835" t="str">
        <f t="shared" ref="P835:P898" si="66">TEXT(B835,"dddd")</f>
        <v>Friday</v>
      </c>
      <c r="Q835">
        <f t="shared" ref="Q835:Q898" si="67">(F835*H835)*(1-K835)</f>
        <v>23451.033599999999</v>
      </c>
      <c r="R835">
        <f t="shared" ref="R835:R898" si="68">(I835-H835)*F835</f>
        <v>527.51999999999771</v>
      </c>
      <c r="S835">
        <f t="shared" ref="S835:S898" si="69">((I835-H835)*F835)*(1-K835)</f>
        <v>506.41919999999777</v>
      </c>
    </row>
    <row r="836" spans="1:19"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c r="O836" t="str">
        <f t="shared" si="65"/>
        <v>Mar</v>
      </c>
      <c r="P836" t="str">
        <f t="shared" si="66"/>
        <v>Monday</v>
      </c>
      <c r="Q836">
        <f t="shared" si="67"/>
        <v>86296.938000000009</v>
      </c>
      <c r="R836">
        <f t="shared" si="68"/>
        <v>4672.7999999999884</v>
      </c>
      <c r="S836">
        <f t="shared" si="69"/>
        <v>4252.2479999999896</v>
      </c>
    </row>
    <row r="837" spans="1:19" x14ac:dyDescent="0.3">
      <c r="A837">
        <v>1034</v>
      </c>
      <c r="B837" s="1">
        <v>44986</v>
      </c>
      <c r="C837" t="s">
        <v>33</v>
      </c>
      <c r="D837" t="s">
        <v>21</v>
      </c>
      <c r="E837">
        <v>2842.42</v>
      </c>
      <c r="F837">
        <v>45</v>
      </c>
      <c r="G837" t="s">
        <v>26</v>
      </c>
      <c r="H837">
        <v>2013.12</v>
      </c>
      <c r="I837">
        <v>2321.87</v>
      </c>
      <c r="J837" t="s">
        <v>30</v>
      </c>
      <c r="K837">
        <v>0.18</v>
      </c>
      <c r="L837" t="s">
        <v>27</v>
      </c>
      <c r="M837" t="s">
        <v>22</v>
      </c>
      <c r="N837" t="s">
        <v>37</v>
      </c>
      <c r="O837" t="str">
        <f t="shared" si="65"/>
        <v>Mar</v>
      </c>
      <c r="P837" t="str">
        <f t="shared" si="66"/>
        <v>Wednesday</v>
      </c>
      <c r="Q837">
        <f t="shared" si="67"/>
        <v>74284.127999999997</v>
      </c>
      <c r="R837">
        <f t="shared" si="68"/>
        <v>13893.75</v>
      </c>
      <c r="S837">
        <f t="shared" si="69"/>
        <v>11392.875</v>
      </c>
    </row>
    <row r="838" spans="1:19" x14ac:dyDescent="0.3">
      <c r="A838">
        <v>1092</v>
      </c>
      <c r="B838" s="1">
        <v>45071</v>
      </c>
      <c r="C838" t="s">
        <v>14</v>
      </c>
      <c r="D838" t="s">
        <v>34</v>
      </c>
      <c r="E838">
        <v>9220.94</v>
      </c>
      <c r="F838">
        <v>20</v>
      </c>
      <c r="G838" t="s">
        <v>26</v>
      </c>
      <c r="H838">
        <v>668.11</v>
      </c>
      <c r="I838">
        <v>803.49</v>
      </c>
      <c r="J838" t="s">
        <v>30</v>
      </c>
      <c r="K838">
        <v>0.21</v>
      </c>
      <c r="L838" t="s">
        <v>27</v>
      </c>
      <c r="M838" t="s">
        <v>19</v>
      </c>
      <c r="N838" t="s">
        <v>46</v>
      </c>
      <c r="O838" t="str">
        <f t="shared" si="65"/>
        <v>May</v>
      </c>
      <c r="P838" t="str">
        <f t="shared" si="66"/>
        <v>Thursday</v>
      </c>
      <c r="Q838">
        <f t="shared" si="67"/>
        <v>10556.138000000001</v>
      </c>
      <c r="R838">
        <f t="shared" si="68"/>
        <v>2707.6</v>
      </c>
      <c r="S838">
        <f t="shared" si="69"/>
        <v>2139.0039999999999</v>
      </c>
    </row>
    <row r="839" spans="1:19"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c r="O839" t="str">
        <f t="shared" si="65"/>
        <v>Apr</v>
      </c>
      <c r="P839" t="str">
        <f t="shared" si="66"/>
        <v>Monday</v>
      </c>
      <c r="Q839">
        <f t="shared" si="67"/>
        <v>20995.524000000001</v>
      </c>
      <c r="R839">
        <f t="shared" si="68"/>
        <v>1885.2299999999123</v>
      </c>
      <c r="S839">
        <f t="shared" si="69"/>
        <v>1659.0023999999228</v>
      </c>
    </row>
    <row r="840" spans="1:19" x14ac:dyDescent="0.3">
      <c r="A840">
        <v>1072</v>
      </c>
      <c r="B840" s="1">
        <v>45235</v>
      </c>
      <c r="C840" t="s">
        <v>24</v>
      </c>
      <c r="D840" t="s">
        <v>21</v>
      </c>
      <c r="E840">
        <v>5969.12</v>
      </c>
      <c r="F840">
        <v>39</v>
      </c>
      <c r="G840" t="s">
        <v>29</v>
      </c>
      <c r="H840">
        <v>591.98</v>
      </c>
      <c r="I840">
        <v>934.04</v>
      </c>
      <c r="J840" t="s">
        <v>30</v>
      </c>
      <c r="K840">
        <v>0.26</v>
      </c>
      <c r="L840" t="s">
        <v>27</v>
      </c>
      <c r="M840" t="s">
        <v>22</v>
      </c>
      <c r="N840" t="s">
        <v>47</v>
      </c>
      <c r="O840" t="str">
        <f t="shared" si="65"/>
        <v>Nov</v>
      </c>
      <c r="P840" t="str">
        <f t="shared" si="66"/>
        <v>Sunday</v>
      </c>
      <c r="Q840">
        <f t="shared" si="67"/>
        <v>17084.542799999999</v>
      </c>
      <c r="R840">
        <f t="shared" si="68"/>
        <v>13340.339999999998</v>
      </c>
      <c r="S840">
        <f t="shared" si="69"/>
        <v>9871.8515999999981</v>
      </c>
    </row>
    <row r="841" spans="1:19"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c r="O841" t="str">
        <f t="shared" si="65"/>
        <v>Jan</v>
      </c>
      <c r="P841" t="str">
        <f t="shared" si="66"/>
        <v>Sunday</v>
      </c>
      <c r="Q841">
        <f t="shared" si="67"/>
        <v>3710.5023999999999</v>
      </c>
      <c r="R841">
        <f t="shared" si="68"/>
        <v>484.39999999996053</v>
      </c>
      <c r="S841">
        <f t="shared" si="69"/>
        <v>426.27199999996526</v>
      </c>
    </row>
    <row r="842" spans="1:19"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c r="O842" t="str">
        <f t="shared" si="65"/>
        <v>Mar</v>
      </c>
      <c r="P842" t="str">
        <f t="shared" si="66"/>
        <v>Monday</v>
      </c>
      <c r="Q842">
        <f t="shared" si="67"/>
        <v>83460.88960000001</v>
      </c>
      <c r="R842">
        <f t="shared" si="68"/>
        <v>5794.4299999999876</v>
      </c>
      <c r="S842">
        <f t="shared" si="69"/>
        <v>5099.0983999999889</v>
      </c>
    </row>
    <row r="843" spans="1:19" x14ac:dyDescent="0.3">
      <c r="A843">
        <v>1034</v>
      </c>
      <c r="B843" s="1">
        <v>44953</v>
      </c>
      <c r="C843" t="s">
        <v>14</v>
      </c>
      <c r="D843" t="s">
        <v>34</v>
      </c>
      <c r="E843">
        <v>414.26</v>
      </c>
      <c r="F843">
        <v>38</v>
      </c>
      <c r="G843" t="s">
        <v>26</v>
      </c>
      <c r="H843">
        <v>2729.75</v>
      </c>
      <c r="I843">
        <v>3081.5</v>
      </c>
      <c r="J843" t="s">
        <v>30</v>
      </c>
      <c r="K843">
        <v>0.01</v>
      </c>
      <c r="L843" t="s">
        <v>27</v>
      </c>
      <c r="M843" t="s">
        <v>19</v>
      </c>
      <c r="N843" t="s">
        <v>46</v>
      </c>
      <c r="O843" t="str">
        <f t="shared" si="65"/>
        <v>Jan</v>
      </c>
      <c r="P843" t="str">
        <f t="shared" si="66"/>
        <v>Friday</v>
      </c>
      <c r="Q843">
        <f t="shared" si="67"/>
        <v>102693.19499999999</v>
      </c>
      <c r="R843">
        <f t="shared" si="68"/>
        <v>13366.5</v>
      </c>
      <c r="S843">
        <f t="shared" si="69"/>
        <v>13232.834999999999</v>
      </c>
    </row>
    <row r="844" spans="1:19"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c r="O844" t="str">
        <f t="shared" si="65"/>
        <v>Jun</v>
      </c>
      <c r="P844" t="str">
        <f t="shared" si="66"/>
        <v>Friday</v>
      </c>
      <c r="Q844">
        <f t="shared" si="67"/>
        <v>32630.976899999998</v>
      </c>
      <c r="R844">
        <f t="shared" si="68"/>
        <v>1467.1799999997338</v>
      </c>
      <c r="S844">
        <f t="shared" si="69"/>
        <v>1217.7593999997789</v>
      </c>
    </row>
    <row r="845" spans="1:19" x14ac:dyDescent="0.3">
      <c r="A845">
        <v>1003</v>
      </c>
      <c r="B845" s="1">
        <v>44976</v>
      </c>
      <c r="C845" t="s">
        <v>42</v>
      </c>
      <c r="D845" t="s">
        <v>34</v>
      </c>
      <c r="E845">
        <v>937.2</v>
      </c>
      <c r="F845">
        <v>45</v>
      </c>
      <c r="G845" t="s">
        <v>35</v>
      </c>
      <c r="H845">
        <v>4974.1400000000003</v>
      </c>
      <c r="I845">
        <v>5227.93</v>
      </c>
      <c r="J845" t="s">
        <v>30</v>
      </c>
      <c r="K845">
        <v>0.21</v>
      </c>
      <c r="L845" t="s">
        <v>27</v>
      </c>
      <c r="M845" t="s">
        <v>19</v>
      </c>
      <c r="N845" t="s">
        <v>52</v>
      </c>
      <c r="O845" t="str">
        <f t="shared" si="65"/>
        <v>Feb</v>
      </c>
      <c r="P845" t="str">
        <f t="shared" si="66"/>
        <v>Sunday</v>
      </c>
      <c r="Q845">
        <f t="shared" si="67"/>
        <v>176830.67700000003</v>
      </c>
      <c r="R845">
        <f t="shared" si="68"/>
        <v>11420.55</v>
      </c>
      <c r="S845">
        <f t="shared" si="69"/>
        <v>9022.2345000000005</v>
      </c>
    </row>
    <row r="846" spans="1:19" x14ac:dyDescent="0.3">
      <c r="A846">
        <v>1050</v>
      </c>
      <c r="B846" s="1">
        <v>45125</v>
      </c>
      <c r="C846" t="s">
        <v>38</v>
      </c>
      <c r="D846" t="s">
        <v>25</v>
      </c>
      <c r="E846">
        <v>6107.78</v>
      </c>
      <c r="F846">
        <v>43</v>
      </c>
      <c r="G846" t="s">
        <v>16</v>
      </c>
      <c r="H846">
        <v>4834.47</v>
      </c>
      <c r="I846">
        <v>4973.38</v>
      </c>
      <c r="J846" t="s">
        <v>17</v>
      </c>
      <c r="K846">
        <v>0.03</v>
      </c>
      <c r="L846" t="s">
        <v>27</v>
      </c>
      <c r="M846" t="s">
        <v>19</v>
      </c>
      <c r="N846" t="s">
        <v>39</v>
      </c>
      <c r="O846" t="str">
        <f t="shared" si="65"/>
        <v>Jul</v>
      </c>
      <c r="P846" t="str">
        <f t="shared" si="66"/>
        <v>Tuesday</v>
      </c>
      <c r="Q846">
        <f t="shared" si="67"/>
        <v>201645.74370000002</v>
      </c>
      <c r="R846">
        <f t="shared" si="68"/>
        <v>5973.1299999999937</v>
      </c>
      <c r="S846">
        <f t="shared" si="69"/>
        <v>5793.9360999999935</v>
      </c>
    </row>
    <row r="847" spans="1:19"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c r="O847" t="str">
        <f t="shared" si="65"/>
        <v>Dec</v>
      </c>
      <c r="P847" t="str">
        <f t="shared" si="66"/>
        <v>Friday</v>
      </c>
      <c r="Q847">
        <f t="shared" si="67"/>
        <v>26400.537799999998</v>
      </c>
      <c r="R847">
        <f t="shared" si="68"/>
        <v>4744.349999999873</v>
      </c>
      <c r="S847">
        <f t="shared" si="69"/>
        <v>4317.3584999998848</v>
      </c>
    </row>
    <row r="848" spans="1:19" x14ac:dyDescent="0.3">
      <c r="A848">
        <v>1065</v>
      </c>
      <c r="B848" s="1">
        <v>45107</v>
      </c>
      <c r="C848" t="s">
        <v>38</v>
      </c>
      <c r="D848" t="s">
        <v>25</v>
      </c>
      <c r="E848">
        <v>8840.86</v>
      </c>
      <c r="F848">
        <v>13</v>
      </c>
      <c r="G848" t="s">
        <v>16</v>
      </c>
      <c r="H848">
        <v>1339</v>
      </c>
      <c r="I848">
        <v>1441.88</v>
      </c>
      <c r="J848" t="s">
        <v>17</v>
      </c>
      <c r="K848">
        <v>0.23</v>
      </c>
      <c r="L848" t="s">
        <v>31</v>
      </c>
      <c r="M848" t="s">
        <v>22</v>
      </c>
      <c r="N848" t="s">
        <v>39</v>
      </c>
      <c r="O848" t="str">
        <f t="shared" si="65"/>
        <v>Jun</v>
      </c>
      <c r="P848" t="str">
        <f t="shared" si="66"/>
        <v>Friday</v>
      </c>
      <c r="Q848">
        <f t="shared" si="67"/>
        <v>13403.39</v>
      </c>
      <c r="R848">
        <f t="shared" si="68"/>
        <v>1337.4400000000014</v>
      </c>
      <c r="S848">
        <f t="shared" si="69"/>
        <v>1029.8288000000011</v>
      </c>
    </row>
    <row r="849" spans="1:19" x14ac:dyDescent="0.3">
      <c r="A849">
        <v>1054</v>
      </c>
      <c r="B849" s="1">
        <v>44950</v>
      </c>
      <c r="C849" t="s">
        <v>14</v>
      </c>
      <c r="D849" t="s">
        <v>34</v>
      </c>
      <c r="E849">
        <v>6624.55</v>
      </c>
      <c r="F849">
        <v>22</v>
      </c>
      <c r="G849" t="s">
        <v>35</v>
      </c>
      <c r="H849">
        <v>4200.08</v>
      </c>
      <c r="I849">
        <v>4647.28</v>
      </c>
      <c r="J849" t="s">
        <v>17</v>
      </c>
      <c r="K849">
        <v>0.11</v>
      </c>
      <c r="L849" t="s">
        <v>18</v>
      </c>
      <c r="M849" t="s">
        <v>19</v>
      </c>
      <c r="N849" t="s">
        <v>46</v>
      </c>
      <c r="O849" t="str">
        <f t="shared" si="65"/>
        <v>Jan</v>
      </c>
      <c r="P849" t="str">
        <f t="shared" si="66"/>
        <v>Tuesday</v>
      </c>
      <c r="Q849">
        <f t="shared" si="67"/>
        <v>82237.566399999996</v>
      </c>
      <c r="R849">
        <f t="shared" si="68"/>
        <v>9838.399999999996</v>
      </c>
      <c r="S849">
        <f t="shared" si="69"/>
        <v>8756.1759999999958</v>
      </c>
    </row>
    <row r="850" spans="1:19"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c r="O850" t="str">
        <f t="shared" si="65"/>
        <v>Nov</v>
      </c>
      <c r="P850" t="str">
        <f t="shared" si="66"/>
        <v>Sunday</v>
      </c>
      <c r="Q850">
        <f t="shared" si="67"/>
        <v>93544.012799999997</v>
      </c>
      <c r="R850">
        <f t="shared" si="68"/>
        <v>6192.4799999999959</v>
      </c>
      <c r="S850">
        <f t="shared" si="69"/>
        <v>5759.0063999999957</v>
      </c>
    </row>
    <row r="851" spans="1:19" x14ac:dyDescent="0.3">
      <c r="A851">
        <v>1094</v>
      </c>
      <c r="B851" s="1">
        <v>44972</v>
      </c>
      <c r="C851" t="s">
        <v>33</v>
      </c>
      <c r="D851" t="s">
        <v>25</v>
      </c>
      <c r="E851">
        <v>8643.67</v>
      </c>
      <c r="F851">
        <v>47</v>
      </c>
      <c r="G851" t="s">
        <v>26</v>
      </c>
      <c r="H851">
        <v>3450.36</v>
      </c>
      <c r="I851">
        <v>3557.38</v>
      </c>
      <c r="J851" t="s">
        <v>30</v>
      </c>
      <c r="K851">
        <v>0.2</v>
      </c>
      <c r="L851" t="s">
        <v>31</v>
      </c>
      <c r="M851" t="s">
        <v>19</v>
      </c>
      <c r="N851" t="s">
        <v>44</v>
      </c>
      <c r="O851" t="str">
        <f t="shared" si="65"/>
        <v>Feb</v>
      </c>
      <c r="P851" t="str">
        <f t="shared" si="66"/>
        <v>Wednesday</v>
      </c>
      <c r="Q851">
        <f t="shared" si="67"/>
        <v>129733.53600000002</v>
      </c>
      <c r="R851">
        <f t="shared" si="68"/>
        <v>5029.9399999999987</v>
      </c>
      <c r="S851">
        <f t="shared" si="69"/>
        <v>4023.9519999999993</v>
      </c>
    </row>
    <row r="852" spans="1:19" x14ac:dyDescent="0.3">
      <c r="A852">
        <v>1094</v>
      </c>
      <c r="B852" s="1">
        <v>44941</v>
      </c>
      <c r="C852" t="s">
        <v>14</v>
      </c>
      <c r="D852" t="s">
        <v>15</v>
      </c>
      <c r="E852">
        <v>8872.33</v>
      </c>
      <c r="F852">
        <v>45</v>
      </c>
      <c r="G852" t="s">
        <v>16</v>
      </c>
      <c r="H852">
        <v>4470.91</v>
      </c>
      <c r="I852">
        <v>4695.54</v>
      </c>
      <c r="J852" t="s">
        <v>17</v>
      </c>
      <c r="K852">
        <v>0.06</v>
      </c>
      <c r="L852" t="s">
        <v>18</v>
      </c>
      <c r="M852" t="s">
        <v>22</v>
      </c>
      <c r="N852" t="s">
        <v>20</v>
      </c>
      <c r="O852" t="str">
        <f t="shared" si="65"/>
        <v>Jan</v>
      </c>
      <c r="P852" t="str">
        <f t="shared" si="66"/>
        <v>Sunday</v>
      </c>
      <c r="Q852">
        <f t="shared" si="67"/>
        <v>189119.49299999996</v>
      </c>
      <c r="R852">
        <f t="shared" si="68"/>
        <v>10108.350000000006</v>
      </c>
      <c r="S852">
        <f t="shared" si="69"/>
        <v>9501.8490000000056</v>
      </c>
    </row>
    <row r="853" spans="1:19" x14ac:dyDescent="0.3">
      <c r="A853">
        <v>1057</v>
      </c>
      <c r="B853" s="1">
        <v>45079</v>
      </c>
      <c r="C853" t="s">
        <v>38</v>
      </c>
      <c r="D853" t="s">
        <v>34</v>
      </c>
      <c r="E853">
        <v>2046.87</v>
      </c>
      <c r="F853">
        <v>22</v>
      </c>
      <c r="G853" t="s">
        <v>26</v>
      </c>
      <c r="H853">
        <v>3462.61</v>
      </c>
      <c r="I853">
        <v>3672.89</v>
      </c>
      <c r="J853" t="s">
        <v>17</v>
      </c>
      <c r="K853">
        <v>0.27</v>
      </c>
      <c r="L853" t="s">
        <v>31</v>
      </c>
      <c r="M853" t="s">
        <v>19</v>
      </c>
      <c r="N853" t="s">
        <v>48</v>
      </c>
      <c r="O853" t="str">
        <f t="shared" si="65"/>
        <v>Jun</v>
      </c>
      <c r="P853" t="str">
        <f t="shared" si="66"/>
        <v>Friday</v>
      </c>
      <c r="Q853">
        <f t="shared" si="67"/>
        <v>55609.516599999995</v>
      </c>
      <c r="R853">
        <f t="shared" si="68"/>
        <v>4626.1599999999944</v>
      </c>
      <c r="S853">
        <f t="shared" si="69"/>
        <v>3377.0967999999957</v>
      </c>
    </row>
    <row r="854" spans="1:19" x14ac:dyDescent="0.3">
      <c r="A854">
        <v>1017</v>
      </c>
      <c r="B854" s="1">
        <v>45148</v>
      </c>
      <c r="C854" t="s">
        <v>42</v>
      </c>
      <c r="D854" t="s">
        <v>15</v>
      </c>
      <c r="E854">
        <v>7400.52</v>
      </c>
      <c r="F854">
        <v>43</v>
      </c>
      <c r="G854" t="s">
        <v>16</v>
      </c>
      <c r="H854">
        <v>1454.8</v>
      </c>
      <c r="I854">
        <v>1674.97</v>
      </c>
      <c r="J854" t="s">
        <v>30</v>
      </c>
      <c r="K854">
        <v>0.03</v>
      </c>
      <c r="L854" t="s">
        <v>31</v>
      </c>
      <c r="M854" t="s">
        <v>19</v>
      </c>
      <c r="N854" t="s">
        <v>49</v>
      </c>
      <c r="O854" t="str">
        <f t="shared" si="65"/>
        <v>Aug</v>
      </c>
      <c r="P854" t="str">
        <f t="shared" si="66"/>
        <v>Thursday</v>
      </c>
      <c r="Q854">
        <f t="shared" si="67"/>
        <v>60679.707999999999</v>
      </c>
      <c r="R854">
        <f t="shared" si="68"/>
        <v>9467.3100000000031</v>
      </c>
      <c r="S854">
        <f t="shared" si="69"/>
        <v>9183.2907000000032</v>
      </c>
    </row>
    <row r="855" spans="1:19"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c r="O855" t="str">
        <f t="shared" si="65"/>
        <v>Jul</v>
      </c>
      <c r="P855" t="str">
        <f t="shared" si="66"/>
        <v>Tuesday</v>
      </c>
      <c r="Q855">
        <f t="shared" si="67"/>
        <v>52304.146200000003</v>
      </c>
      <c r="R855">
        <f t="shared" si="68"/>
        <v>5641.6699999998154</v>
      </c>
      <c r="S855">
        <f t="shared" si="69"/>
        <v>4456.919299999854</v>
      </c>
    </row>
    <row r="856" spans="1:19"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c r="O856" t="str">
        <f t="shared" si="65"/>
        <v>Sep</v>
      </c>
      <c r="P856" t="str">
        <f t="shared" si="66"/>
        <v>Saturday</v>
      </c>
      <c r="Q856">
        <f t="shared" si="67"/>
        <v>10633.704</v>
      </c>
      <c r="R856">
        <f t="shared" si="68"/>
        <v>2123.0399999999208</v>
      </c>
      <c r="S856">
        <f t="shared" si="69"/>
        <v>1804.5839999999328</v>
      </c>
    </row>
    <row r="857" spans="1:19" x14ac:dyDescent="0.3">
      <c r="A857">
        <v>1079</v>
      </c>
      <c r="B857" s="1">
        <v>45162</v>
      </c>
      <c r="C857" t="s">
        <v>42</v>
      </c>
      <c r="D857" t="s">
        <v>15</v>
      </c>
      <c r="E857">
        <v>9972.66</v>
      </c>
      <c r="F857">
        <v>8</v>
      </c>
      <c r="G857" t="s">
        <v>29</v>
      </c>
      <c r="H857">
        <v>3808.23</v>
      </c>
      <c r="I857">
        <v>3891.62</v>
      </c>
      <c r="J857" t="s">
        <v>17</v>
      </c>
      <c r="K857">
        <v>0.26</v>
      </c>
      <c r="L857" t="s">
        <v>27</v>
      </c>
      <c r="M857" t="s">
        <v>19</v>
      </c>
      <c r="N857" t="s">
        <v>49</v>
      </c>
      <c r="O857" t="str">
        <f t="shared" si="65"/>
        <v>Aug</v>
      </c>
      <c r="P857" t="str">
        <f t="shared" si="66"/>
        <v>Thursday</v>
      </c>
      <c r="Q857">
        <f t="shared" si="67"/>
        <v>22544.721600000001</v>
      </c>
      <c r="R857">
        <f t="shared" si="68"/>
        <v>667.11999999999898</v>
      </c>
      <c r="S857">
        <f t="shared" si="69"/>
        <v>493.66879999999924</v>
      </c>
    </row>
    <row r="858" spans="1:19" x14ac:dyDescent="0.3">
      <c r="A858">
        <v>1085</v>
      </c>
      <c r="B858" s="1">
        <v>45266</v>
      </c>
      <c r="C858" t="s">
        <v>38</v>
      </c>
      <c r="D858" t="s">
        <v>15</v>
      </c>
      <c r="E858">
        <v>397.26</v>
      </c>
      <c r="F858">
        <v>42</v>
      </c>
      <c r="G858" t="s">
        <v>35</v>
      </c>
      <c r="H858">
        <v>3117.75</v>
      </c>
      <c r="I858">
        <v>3159.88</v>
      </c>
      <c r="J858" t="s">
        <v>30</v>
      </c>
      <c r="K858">
        <v>0.04</v>
      </c>
      <c r="L858" t="s">
        <v>18</v>
      </c>
      <c r="M858" t="s">
        <v>22</v>
      </c>
      <c r="N858" t="s">
        <v>40</v>
      </c>
      <c r="O858" t="str">
        <f t="shared" si="65"/>
        <v>Dec</v>
      </c>
      <c r="P858" t="str">
        <f t="shared" si="66"/>
        <v>Wednesday</v>
      </c>
      <c r="Q858">
        <f t="shared" si="67"/>
        <v>125707.68</v>
      </c>
      <c r="R858">
        <f t="shared" si="68"/>
        <v>1769.4600000000046</v>
      </c>
      <c r="S858">
        <f t="shared" si="69"/>
        <v>1698.6816000000044</v>
      </c>
    </row>
    <row r="859" spans="1:19" x14ac:dyDescent="0.3">
      <c r="A859">
        <v>1014</v>
      </c>
      <c r="B859" s="1">
        <v>45154</v>
      </c>
      <c r="C859" t="s">
        <v>24</v>
      </c>
      <c r="D859" t="s">
        <v>25</v>
      </c>
      <c r="E859">
        <v>8983.92</v>
      </c>
      <c r="F859">
        <v>26</v>
      </c>
      <c r="G859" t="s">
        <v>16</v>
      </c>
      <c r="H859">
        <v>433.19</v>
      </c>
      <c r="I859">
        <v>800.6</v>
      </c>
      <c r="J859" t="s">
        <v>17</v>
      </c>
      <c r="K859">
        <v>0.2</v>
      </c>
      <c r="L859" t="s">
        <v>18</v>
      </c>
      <c r="M859" t="s">
        <v>19</v>
      </c>
      <c r="N859" t="s">
        <v>28</v>
      </c>
      <c r="O859" t="str">
        <f t="shared" si="65"/>
        <v>Aug</v>
      </c>
      <c r="P859" t="str">
        <f t="shared" si="66"/>
        <v>Wednesday</v>
      </c>
      <c r="Q859">
        <f t="shared" si="67"/>
        <v>9010.3520000000008</v>
      </c>
      <c r="R859">
        <f t="shared" si="68"/>
        <v>9552.66</v>
      </c>
      <c r="S859">
        <f t="shared" si="69"/>
        <v>7642.1280000000006</v>
      </c>
    </row>
    <row r="860" spans="1:19" x14ac:dyDescent="0.3">
      <c r="A860">
        <v>1066</v>
      </c>
      <c r="B860" s="1">
        <v>44935</v>
      </c>
      <c r="C860" t="s">
        <v>42</v>
      </c>
      <c r="D860" t="s">
        <v>15</v>
      </c>
      <c r="E860">
        <v>6264.04</v>
      </c>
      <c r="F860">
        <v>48</v>
      </c>
      <c r="G860" t="s">
        <v>29</v>
      </c>
      <c r="H860">
        <v>2588.54</v>
      </c>
      <c r="I860">
        <v>2872.8</v>
      </c>
      <c r="J860" t="s">
        <v>30</v>
      </c>
      <c r="K860">
        <v>0.17</v>
      </c>
      <c r="L860" t="s">
        <v>18</v>
      </c>
      <c r="M860" t="s">
        <v>19</v>
      </c>
      <c r="N860" t="s">
        <v>49</v>
      </c>
      <c r="O860" t="str">
        <f t="shared" si="65"/>
        <v>Jan</v>
      </c>
      <c r="P860" t="str">
        <f t="shared" si="66"/>
        <v>Monday</v>
      </c>
      <c r="Q860">
        <f t="shared" si="67"/>
        <v>103127.43359999999</v>
      </c>
      <c r="R860">
        <f t="shared" si="68"/>
        <v>13644.48000000001</v>
      </c>
      <c r="S860">
        <f t="shared" si="69"/>
        <v>11324.918400000008</v>
      </c>
    </row>
    <row r="861" spans="1:19"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c r="O861" t="str">
        <f t="shared" si="65"/>
        <v>Jun</v>
      </c>
      <c r="P861" t="str">
        <f t="shared" si="66"/>
        <v>Thursday</v>
      </c>
      <c r="Q861">
        <f t="shared" si="67"/>
        <v>39115.242399999996</v>
      </c>
      <c r="R861">
        <f t="shared" si="68"/>
        <v>4833.6600000000017</v>
      </c>
      <c r="S861">
        <f t="shared" si="69"/>
        <v>4156.9476000000013</v>
      </c>
    </row>
    <row r="862" spans="1:19" x14ac:dyDescent="0.3">
      <c r="A862">
        <v>1051</v>
      </c>
      <c r="B862" s="1">
        <v>45245</v>
      </c>
      <c r="C862" t="s">
        <v>42</v>
      </c>
      <c r="D862" t="s">
        <v>15</v>
      </c>
      <c r="E862">
        <v>4703.59</v>
      </c>
      <c r="F862">
        <v>23</v>
      </c>
      <c r="G862" t="s">
        <v>35</v>
      </c>
      <c r="H862">
        <v>1676.42</v>
      </c>
      <c r="I862">
        <v>2082.52</v>
      </c>
      <c r="J862" t="s">
        <v>30</v>
      </c>
      <c r="K862">
        <v>0.15</v>
      </c>
      <c r="L862" t="s">
        <v>27</v>
      </c>
      <c r="M862" t="s">
        <v>22</v>
      </c>
      <c r="N862" t="s">
        <v>49</v>
      </c>
      <c r="O862" t="str">
        <f t="shared" si="65"/>
        <v>Nov</v>
      </c>
      <c r="P862" t="str">
        <f t="shared" si="66"/>
        <v>Wednesday</v>
      </c>
      <c r="Q862">
        <f t="shared" si="67"/>
        <v>32774.010999999999</v>
      </c>
      <c r="R862">
        <f t="shared" si="68"/>
        <v>9340.2999999999975</v>
      </c>
      <c r="S862">
        <f t="shared" si="69"/>
        <v>7939.2549999999974</v>
      </c>
    </row>
    <row r="863" spans="1:19" x14ac:dyDescent="0.3">
      <c r="A863">
        <v>1038</v>
      </c>
      <c r="B863" s="1">
        <v>45140</v>
      </c>
      <c r="C863" t="s">
        <v>42</v>
      </c>
      <c r="D863" t="s">
        <v>34</v>
      </c>
      <c r="E863">
        <v>8489.14</v>
      </c>
      <c r="F863">
        <v>43</v>
      </c>
      <c r="G863" t="s">
        <v>16</v>
      </c>
      <c r="H863">
        <v>3031.17</v>
      </c>
      <c r="I863">
        <v>3231.32</v>
      </c>
      <c r="J863" t="s">
        <v>17</v>
      </c>
      <c r="K863">
        <v>0.22</v>
      </c>
      <c r="L863" t="s">
        <v>18</v>
      </c>
      <c r="M863" t="s">
        <v>22</v>
      </c>
      <c r="N863" t="s">
        <v>52</v>
      </c>
      <c r="O863" t="str">
        <f t="shared" si="65"/>
        <v>Aug</v>
      </c>
      <c r="P863" t="str">
        <f t="shared" si="66"/>
        <v>Wednesday</v>
      </c>
      <c r="Q863">
        <f t="shared" si="67"/>
        <v>101665.4418</v>
      </c>
      <c r="R863">
        <f t="shared" si="68"/>
        <v>8606.4500000000044</v>
      </c>
      <c r="S863">
        <f t="shared" si="69"/>
        <v>6713.0310000000036</v>
      </c>
    </row>
    <row r="864" spans="1:19"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c r="O864" t="str">
        <f t="shared" si="65"/>
        <v>Apr</v>
      </c>
      <c r="P864" t="str">
        <f t="shared" si="66"/>
        <v>Thursday</v>
      </c>
      <c r="Q864">
        <f t="shared" si="67"/>
        <v>15401.973599999999</v>
      </c>
      <c r="R864">
        <f t="shared" si="68"/>
        <v>5200.26</v>
      </c>
      <c r="S864">
        <f t="shared" si="69"/>
        <v>3744.1871999999998</v>
      </c>
    </row>
    <row r="865" spans="1:19" x14ac:dyDescent="0.3">
      <c r="A865">
        <v>1098</v>
      </c>
      <c r="B865" s="1">
        <v>45270</v>
      </c>
      <c r="C865" t="s">
        <v>38</v>
      </c>
      <c r="D865" t="s">
        <v>34</v>
      </c>
      <c r="E865">
        <v>3419.26</v>
      </c>
      <c r="F865">
        <v>28</v>
      </c>
      <c r="G865" t="s">
        <v>35</v>
      </c>
      <c r="H865">
        <v>3895.62</v>
      </c>
      <c r="I865">
        <v>4055.44</v>
      </c>
      <c r="J865" t="s">
        <v>30</v>
      </c>
      <c r="K865">
        <v>0.03</v>
      </c>
      <c r="L865" t="s">
        <v>27</v>
      </c>
      <c r="M865" t="s">
        <v>22</v>
      </c>
      <c r="N865" t="s">
        <v>48</v>
      </c>
      <c r="O865" t="str">
        <f t="shared" si="65"/>
        <v>Dec</v>
      </c>
      <c r="P865" t="str">
        <f t="shared" si="66"/>
        <v>Sunday</v>
      </c>
      <c r="Q865">
        <f t="shared" si="67"/>
        <v>105805.0392</v>
      </c>
      <c r="R865">
        <f t="shared" si="68"/>
        <v>4474.9600000000046</v>
      </c>
      <c r="S865">
        <f t="shared" si="69"/>
        <v>4340.7112000000043</v>
      </c>
    </row>
    <row r="866" spans="1:19" x14ac:dyDescent="0.3">
      <c r="A866">
        <v>1038</v>
      </c>
      <c r="B866" s="1">
        <v>44998</v>
      </c>
      <c r="C866" t="s">
        <v>24</v>
      </c>
      <c r="D866" t="s">
        <v>15</v>
      </c>
      <c r="E866">
        <v>763.46</v>
      </c>
      <c r="F866">
        <v>9</v>
      </c>
      <c r="G866" t="s">
        <v>29</v>
      </c>
      <c r="H866">
        <v>400.42</v>
      </c>
      <c r="I866">
        <v>446.11</v>
      </c>
      <c r="J866" t="s">
        <v>30</v>
      </c>
      <c r="K866">
        <v>0.01</v>
      </c>
      <c r="L866" t="s">
        <v>27</v>
      </c>
      <c r="M866" t="s">
        <v>22</v>
      </c>
      <c r="N866" t="s">
        <v>45</v>
      </c>
      <c r="O866" t="str">
        <f t="shared" si="65"/>
        <v>Mar</v>
      </c>
      <c r="P866" t="str">
        <f t="shared" si="66"/>
        <v>Monday</v>
      </c>
      <c r="Q866">
        <f t="shared" si="67"/>
        <v>3567.7422000000001</v>
      </c>
      <c r="R866">
        <f t="shared" si="68"/>
        <v>411.21</v>
      </c>
      <c r="S866">
        <f t="shared" si="69"/>
        <v>407.09789999999998</v>
      </c>
    </row>
    <row r="867" spans="1:19" x14ac:dyDescent="0.3">
      <c r="A867">
        <v>1050</v>
      </c>
      <c r="B867" s="1">
        <v>44990</v>
      </c>
      <c r="C867" t="s">
        <v>14</v>
      </c>
      <c r="D867" t="s">
        <v>15</v>
      </c>
      <c r="E867">
        <v>9755.9</v>
      </c>
      <c r="F867">
        <v>20</v>
      </c>
      <c r="G867" t="s">
        <v>35</v>
      </c>
      <c r="H867">
        <v>3318.92</v>
      </c>
      <c r="I867">
        <v>3785.91</v>
      </c>
      <c r="J867" t="s">
        <v>30</v>
      </c>
      <c r="K867">
        <v>0.24</v>
      </c>
      <c r="L867" t="s">
        <v>27</v>
      </c>
      <c r="M867" t="s">
        <v>19</v>
      </c>
      <c r="N867" t="s">
        <v>20</v>
      </c>
      <c r="O867" t="str">
        <f t="shared" si="65"/>
        <v>Mar</v>
      </c>
      <c r="P867" t="str">
        <f t="shared" si="66"/>
        <v>Sunday</v>
      </c>
      <c r="Q867">
        <f t="shared" si="67"/>
        <v>50447.583999999995</v>
      </c>
      <c r="R867">
        <f t="shared" si="68"/>
        <v>9339.7999999999956</v>
      </c>
      <c r="S867">
        <f t="shared" si="69"/>
        <v>7098.2479999999969</v>
      </c>
    </row>
    <row r="868" spans="1:19" x14ac:dyDescent="0.3">
      <c r="A868">
        <v>1098</v>
      </c>
      <c r="B868" s="1">
        <v>45131</v>
      </c>
      <c r="C868" t="s">
        <v>42</v>
      </c>
      <c r="D868" t="s">
        <v>25</v>
      </c>
      <c r="E868">
        <v>8188.04</v>
      </c>
      <c r="F868">
        <v>19</v>
      </c>
      <c r="G868" t="s">
        <v>35</v>
      </c>
      <c r="H868">
        <v>4055.51</v>
      </c>
      <c r="I868">
        <v>4258.84</v>
      </c>
      <c r="J868" t="s">
        <v>17</v>
      </c>
      <c r="K868">
        <v>0.03</v>
      </c>
      <c r="L868" t="s">
        <v>31</v>
      </c>
      <c r="M868" t="s">
        <v>19</v>
      </c>
      <c r="N868" t="s">
        <v>43</v>
      </c>
      <c r="O868" t="str">
        <f t="shared" si="65"/>
        <v>Jul</v>
      </c>
      <c r="P868" t="str">
        <f t="shared" si="66"/>
        <v>Monday</v>
      </c>
      <c r="Q868">
        <f t="shared" si="67"/>
        <v>74743.049299999999</v>
      </c>
      <c r="R868">
        <f t="shared" si="68"/>
        <v>3863.2699999999986</v>
      </c>
      <c r="S868">
        <f t="shared" si="69"/>
        <v>3747.3718999999987</v>
      </c>
    </row>
    <row r="869" spans="1:19"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c r="O869" t="str">
        <f t="shared" si="65"/>
        <v>Jul</v>
      </c>
      <c r="P869" t="str">
        <f t="shared" si="66"/>
        <v>Friday</v>
      </c>
      <c r="Q869">
        <f t="shared" si="67"/>
        <v>113585.47199999999</v>
      </c>
      <c r="R869">
        <f t="shared" si="68"/>
        <v>19124.160000000003</v>
      </c>
      <c r="S869">
        <f t="shared" si="69"/>
        <v>13386.912000000002</v>
      </c>
    </row>
    <row r="870" spans="1:19"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c r="O870" t="str">
        <f t="shared" si="65"/>
        <v>Mar</v>
      </c>
      <c r="P870" t="str">
        <f t="shared" si="66"/>
        <v>Monday</v>
      </c>
      <c r="Q870">
        <f t="shared" si="67"/>
        <v>79331.335200000016</v>
      </c>
      <c r="R870">
        <f t="shared" si="68"/>
        <v>5724.4199999999901</v>
      </c>
      <c r="S870">
        <f t="shared" si="69"/>
        <v>4636.780199999992</v>
      </c>
    </row>
    <row r="871" spans="1:19" x14ac:dyDescent="0.3">
      <c r="A871">
        <v>1079</v>
      </c>
      <c r="B871" s="1">
        <v>45203</v>
      </c>
      <c r="C871" t="s">
        <v>38</v>
      </c>
      <c r="D871" t="s">
        <v>34</v>
      </c>
      <c r="E871">
        <v>942.52</v>
      </c>
      <c r="F871">
        <v>12</v>
      </c>
      <c r="G871" t="s">
        <v>26</v>
      </c>
      <c r="H871">
        <v>4754.0200000000004</v>
      </c>
      <c r="I871">
        <v>5080.74</v>
      </c>
      <c r="J871" t="s">
        <v>30</v>
      </c>
      <c r="K871">
        <v>0.2</v>
      </c>
      <c r="L871" t="s">
        <v>18</v>
      </c>
      <c r="M871" t="s">
        <v>19</v>
      </c>
      <c r="N871" t="s">
        <v>48</v>
      </c>
      <c r="O871" t="str">
        <f t="shared" si="65"/>
        <v>Oct</v>
      </c>
      <c r="P871" t="str">
        <f t="shared" si="66"/>
        <v>Wednesday</v>
      </c>
      <c r="Q871">
        <f t="shared" si="67"/>
        <v>45638.592000000004</v>
      </c>
      <c r="R871">
        <f t="shared" si="68"/>
        <v>3920.6399999999921</v>
      </c>
      <c r="S871">
        <f t="shared" si="69"/>
        <v>3136.5119999999938</v>
      </c>
    </row>
    <row r="872" spans="1:19" x14ac:dyDescent="0.3">
      <c r="A872">
        <v>1091</v>
      </c>
      <c r="B872" s="1">
        <v>45200</v>
      </c>
      <c r="C872" t="s">
        <v>38</v>
      </c>
      <c r="D872" t="s">
        <v>34</v>
      </c>
      <c r="E872">
        <v>3917.42</v>
      </c>
      <c r="F872">
        <v>15</v>
      </c>
      <c r="G872" t="s">
        <v>35</v>
      </c>
      <c r="H872">
        <v>1534.7</v>
      </c>
      <c r="I872">
        <v>1972.62</v>
      </c>
      <c r="J872" t="s">
        <v>17</v>
      </c>
      <c r="K872">
        <v>0.06</v>
      </c>
      <c r="L872" t="s">
        <v>31</v>
      </c>
      <c r="M872" t="s">
        <v>22</v>
      </c>
      <c r="N872" t="s">
        <v>48</v>
      </c>
      <c r="O872" t="str">
        <f t="shared" si="65"/>
        <v>Oct</v>
      </c>
      <c r="P872" t="str">
        <f t="shared" si="66"/>
        <v>Sunday</v>
      </c>
      <c r="Q872">
        <f t="shared" si="67"/>
        <v>21639.27</v>
      </c>
      <c r="R872">
        <f t="shared" si="68"/>
        <v>6568.7999999999975</v>
      </c>
      <c r="S872">
        <f t="shared" si="69"/>
        <v>6174.6719999999968</v>
      </c>
    </row>
    <row r="873" spans="1:19"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c r="O873" t="str">
        <f t="shared" si="65"/>
        <v>Nov</v>
      </c>
      <c r="P873" t="str">
        <f t="shared" si="66"/>
        <v>Thursday</v>
      </c>
      <c r="Q873">
        <f t="shared" si="67"/>
        <v>4176.8903999999993</v>
      </c>
      <c r="R873">
        <f t="shared" si="68"/>
        <v>942.70999999999992</v>
      </c>
      <c r="S873">
        <f t="shared" si="69"/>
        <v>876.72029999999984</v>
      </c>
    </row>
    <row r="874" spans="1:19"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c r="O874" t="str">
        <f t="shared" si="65"/>
        <v>Dec</v>
      </c>
      <c r="P874" t="str">
        <f t="shared" si="66"/>
        <v>Monday</v>
      </c>
      <c r="Q874">
        <f t="shared" si="67"/>
        <v>24509.52</v>
      </c>
      <c r="R874">
        <f t="shared" si="68"/>
        <v>5838.139999999863</v>
      </c>
      <c r="S874">
        <f t="shared" si="69"/>
        <v>4670.5119999998906</v>
      </c>
    </row>
    <row r="875" spans="1:19" x14ac:dyDescent="0.3">
      <c r="A875">
        <v>1098</v>
      </c>
      <c r="B875" s="1">
        <v>45292</v>
      </c>
      <c r="C875" t="s">
        <v>14</v>
      </c>
      <c r="D875" t="s">
        <v>25</v>
      </c>
      <c r="E875">
        <v>2370.7199999999998</v>
      </c>
      <c r="F875">
        <v>11</v>
      </c>
      <c r="G875" t="s">
        <v>29</v>
      </c>
      <c r="H875">
        <v>213.41</v>
      </c>
      <c r="I875">
        <v>503.36</v>
      </c>
      <c r="J875" t="s">
        <v>17</v>
      </c>
      <c r="K875">
        <v>0.27</v>
      </c>
      <c r="L875" t="s">
        <v>27</v>
      </c>
      <c r="M875" t="s">
        <v>19</v>
      </c>
      <c r="N875" t="s">
        <v>32</v>
      </c>
      <c r="O875" t="str">
        <f t="shared" si="65"/>
        <v>Jan</v>
      </c>
      <c r="P875" t="str">
        <f t="shared" si="66"/>
        <v>Monday</v>
      </c>
      <c r="Q875">
        <f t="shared" si="67"/>
        <v>1713.6822999999997</v>
      </c>
      <c r="R875">
        <f t="shared" si="68"/>
        <v>3189.4500000000007</v>
      </c>
      <c r="S875">
        <f t="shared" si="69"/>
        <v>2328.2985000000003</v>
      </c>
    </row>
    <row r="876" spans="1:19"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c r="O876" t="str">
        <f t="shared" si="65"/>
        <v>Apr</v>
      </c>
      <c r="P876" t="str">
        <f t="shared" si="66"/>
        <v>Wednesday</v>
      </c>
      <c r="Q876">
        <f t="shared" si="67"/>
        <v>88090.935399999988</v>
      </c>
      <c r="R876">
        <f t="shared" si="68"/>
        <v>7999.1599999999962</v>
      </c>
      <c r="S876">
        <f t="shared" si="69"/>
        <v>5679.4035999999969</v>
      </c>
    </row>
    <row r="877" spans="1:19"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c r="O877" t="str">
        <f t="shared" si="65"/>
        <v>Jun</v>
      </c>
      <c r="P877" t="str">
        <f t="shared" si="66"/>
        <v>Thursday</v>
      </c>
      <c r="Q877">
        <f t="shared" si="67"/>
        <v>42997.273199999996</v>
      </c>
      <c r="R877">
        <f t="shared" si="68"/>
        <v>11186.700000000006</v>
      </c>
      <c r="S877">
        <f t="shared" si="69"/>
        <v>10515.498000000005</v>
      </c>
    </row>
    <row r="878" spans="1:19" x14ac:dyDescent="0.3">
      <c r="A878">
        <v>1097</v>
      </c>
      <c r="B878" s="1">
        <v>44958</v>
      </c>
      <c r="C878" t="s">
        <v>42</v>
      </c>
      <c r="D878" t="s">
        <v>21</v>
      </c>
      <c r="E878">
        <v>1099.68</v>
      </c>
      <c r="F878">
        <v>27</v>
      </c>
      <c r="G878" t="s">
        <v>35</v>
      </c>
      <c r="H878">
        <v>3955.19</v>
      </c>
      <c r="I878">
        <v>4393.68</v>
      </c>
      <c r="J878" t="s">
        <v>17</v>
      </c>
      <c r="K878">
        <v>0.04</v>
      </c>
      <c r="L878" t="s">
        <v>31</v>
      </c>
      <c r="M878" t="s">
        <v>19</v>
      </c>
      <c r="N878" t="s">
        <v>51</v>
      </c>
      <c r="O878" t="str">
        <f t="shared" si="65"/>
        <v>Feb</v>
      </c>
      <c r="P878" t="str">
        <f t="shared" si="66"/>
        <v>Wednesday</v>
      </c>
      <c r="Q878">
        <f t="shared" si="67"/>
        <v>102518.5248</v>
      </c>
      <c r="R878">
        <f t="shared" si="68"/>
        <v>11839.230000000007</v>
      </c>
      <c r="S878">
        <f t="shared" si="69"/>
        <v>11365.660800000007</v>
      </c>
    </row>
    <row r="879" spans="1:19" x14ac:dyDescent="0.3">
      <c r="A879">
        <v>1088</v>
      </c>
      <c r="B879" s="1">
        <v>44937</v>
      </c>
      <c r="C879" t="s">
        <v>42</v>
      </c>
      <c r="D879" t="s">
        <v>25</v>
      </c>
      <c r="E879">
        <v>1758.16</v>
      </c>
      <c r="F879">
        <v>11</v>
      </c>
      <c r="G879" t="s">
        <v>26</v>
      </c>
      <c r="H879">
        <v>3884.13</v>
      </c>
      <c r="I879">
        <v>3915.41</v>
      </c>
      <c r="J879" t="s">
        <v>17</v>
      </c>
      <c r="K879">
        <v>0.02</v>
      </c>
      <c r="L879" t="s">
        <v>18</v>
      </c>
      <c r="M879" t="s">
        <v>19</v>
      </c>
      <c r="N879" t="s">
        <v>43</v>
      </c>
      <c r="O879" t="str">
        <f t="shared" si="65"/>
        <v>Jan</v>
      </c>
      <c r="P879" t="str">
        <f t="shared" si="66"/>
        <v>Wednesday</v>
      </c>
      <c r="Q879">
        <f t="shared" si="67"/>
        <v>41870.921399999999</v>
      </c>
      <c r="R879">
        <f t="shared" si="68"/>
        <v>344.0799999999972</v>
      </c>
      <c r="S879">
        <f t="shared" si="69"/>
        <v>337.19839999999726</v>
      </c>
    </row>
    <row r="880" spans="1:19"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c r="O880" t="str">
        <f t="shared" si="65"/>
        <v>Oct</v>
      </c>
      <c r="P880" t="str">
        <f t="shared" si="66"/>
        <v>Saturday</v>
      </c>
      <c r="Q880">
        <f t="shared" si="67"/>
        <v>31712.611199999999</v>
      </c>
      <c r="R880">
        <f t="shared" si="68"/>
        <v>5240.2000000000035</v>
      </c>
      <c r="S880">
        <f t="shared" si="69"/>
        <v>3877.7480000000023</v>
      </c>
    </row>
    <row r="881" spans="1:19"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c r="O881" t="str">
        <f t="shared" si="65"/>
        <v>Aug</v>
      </c>
      <c r="P881" t="str">
        <f t="shared" si="66"/>
        <v>Saturday</v>
      </c>
      <c r="Q881">
        <f t="shared" si="67"/>
        <v>96689.665800000002</v>
      </c>
      <c r="R881">
        <f t="shared" si="68"/>
        <v>14930.079999999996</v>
      </c>
      <c r="S881">
        <f t="shared" si="69"/>
        <v>13586.372799999997</v>
      </c>
    </row>
    <row r="882" spans="1:19" x14ac:dyDescent="0.3">
      <c r="A882">
        <v>1051</v>
      </c>
      <c r="B882" s="1">
        <v>45215</v>
      </c>
      <c r="C882" t="s">
        <v>42</v>
      </c>
      <c r="D882" t="s">
        <v>21</v>
      </c>
      <c r="E882">
        <v>7617</v>
      </c>
      <c r="F882">
        <v>43</v>
      </c>
      <c r="G882" t="s">
        <v>29</v>
      </c>
      <c r="H882">
        <v>287.99</v>
      </c>
      <c r="I882">
        <v>666.64</v>
      </c>
      <c r="J882" t="s">
        <v>17</v>
      </c>
      <c r="K882">
        <v>0</v>
      </c>
      <c r="L882" t="s">
        <v>27</v>
      </c>
      <c r="M882" t="s">
        <v>19</v>
      </c>
      <c r="N882" t="s">
        <v>51</v>
      </c>
      <c r="O882" t="str">
        <f t="shared" si="65"/>
        <v>Oct</v>
      </c>
      <c r="P882" t="str">
        <f t="shared" si="66"/>
        <v>Monday</v>
      </c>
      <c r="Q882">
        <f t="shared" si="67"/>
        <v>12383.57</v>
      </c>
      <c r="R882">
        <f t="shared" si="68"/>
        <v>16281.949999999999</v>
      </c>
      <c r="S882">
        <f t="shared" si="69"/>
        <v>16281.949999999999</v>
      </c>
    </row>
    <row r="883" spans="1:19"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c r="O883" t="str">
        <f t="shared" si="65"/>
        <v>Apr</v>
      </c>
      <c r="P883" t="str">
        <f t="shared" si="66"/>
        <v>Wednesday</v>
      </c>
      <c r="Q883">
        <f t="shared" si="67"/>
        <v>43180.0023</v>
      </c>
      <c r="R883">
        <f t="shared" si="68"/>
        <v>354.35000000000173</v>
      </c>
      <c r="S883">
        <f t="shared" si="69"/>
        <v>329.5455000000016</v>
      </c>
    </row>
    <row r="884" spans="1:19" x14ac:dyDescent="0.3">
      <c r="A884">
        <v>1005</v>
      </c>
      <c r="B884" s="1">
        <v>45193</v>
      </c>
      <c r="C884" t="s">
        <v>38</v>
      </c>
      <c r="D884" t="s">
        <v>25</v>
      </c>
      <c r="E884">
        <v>4453.43</v>
      </c>
      <c r="F884">
        <v>6</v>
      </c>
      <c r="G884" t="s">
        <v>26</v>
      </c>
      <c r="H884">
        <v>122.5</v>
      </c>
      <c r="I884">
        <v>385.83</v>
      </c>
      <c r="J884" t="s">
        <v>17</v>
      </c>
      <c r="K884">
        <v>0.1</v>
      </c>
      <c r="L884" t="s">
        <v>18</v>
      </c>
      <c r="M884" t="s">
        <v>22</v>
      </c>
      <c r="N884" t="s">
        <v>39</v>
      </c>
      <c r="O884" t="str">
        <f t="shared" si="65"/>
        <v>Sep</v>
      </c>
      <c r="P884" t="str">
        <f t="shared" si="66"/>
        <v>Sunday</v>
      </c>
      <c r="Q884">
        <f t="shared" si="67"/>
        <v>661.5</v>
      </c>
      <c r="R884">
        <f t="shared" si="68"/>
        <v>1579.98</v>
      </c>
      <c r="S884">
        <f t="shared" si="69"/>
        <v>1421.982</v>
      </c>
    </row>
    <row r="885" spans="1:19"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c r="O885" t="str">
        <f t="shared" si="65"/>
        <v>Aug</v>
      </c>
      <c r="P885" t="str">
        <f t="shared" si="66"/>
        <v>Wednesday</v>
      </c>
      <c r="Q885">
        <f t="shared" si="67"/>
        <v>148431.05199999997</v>
      </c>
      <c r="R885">
        <f t="shared" si="68"/>
        <v>12396.53999999999</v>
      </c>
      <c r="S885">
        <f t="shared" si="69"/>
        <v>8677.5779999999922</v>
      </c>
    </row>
    <row r="886" spans="1:19"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c r="O886" t="str">
        <f t="shared" si="65"/>
        <v>Jun</v>
      </c>
      <c r="P886" t="str">
        <f t="shared" si="66"/>
        <v>Wednesday</v>
      </c>
      <c r="Q886">
        <f t="shared" si="67"/>
        <v>155821.62959999999</v>
      </c>
      <c r="R886">
        <f t="shared" si="68"/>
        <v>7844.3400000000111</v>
      </c>
      <c r="S886">
        <f t="shared" si="69"/>
        <v>6589.2456000000093</v>
      </c>
    </row>
    <row r="887" spans="1:19" x14ac:dyDescent="0.3">
      <c r="A887">
        <v>1010</v>
      </c>
      <c r="B887" s="1">
        <v>45014</v>
      </c>
      <c r="C887" t="s">
        <v>42</v>
      </c>
      <c r="D887" t="s">
        <v>25</v>
      </c>
      <c r="E887">
        <v>3329.91</v>
      </c>
      <c r="F887">
        <v>49</v>
      </c>
      <c r="G887" t="s">
        <v>26</v>
      </c>
      <c r="H887">
        <v>1150.3</v>
      </c>
      <c r="I887">
        <v>1306.02</v>
      </c>
      <c r="J887" t="s">
        <v>30</v>
      </c>
      <c r="K887">
        <v>0.06</v>
      </c>
      <c r="L887" t="s">
        <v>31</v>
      </c>
      <c r="M887" t="s">
        <v>22</v>
      </c>
      <c r="N887" t="s">
        <v>43</v>
      </c>
      <c r="O887" t="str">
        <f t="shared" si="65"/>
        <v>Mar</v>
      </c>
      <c r="P887" t="str">
        <f t="shared" si="66"/>
        <v>Wednesday</v>
      </c>
      <c r="Q887">
        <f t="shared" si="67"/>
        <v>52982.817999999992</v>
      </c>
      <c r="R887">
        <f t="shared" si="68"/>
        <v>7630.2800000000016</v>
      </c>
      <c r="S887">
        <f t="shared" si="69"/>
        <v>7172.4632000000011</v>
      </c>
    </row>
    <row r="888" spans="1:19"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c r="O888" t="str">
        <f t="shared" si="65"/>
        <v>Feb</v>
      </c>
      <c r="P888" t="str">
        <f t="shared" si="66"/>
        <v>Friday</v>
      </c>
      <c r="Q888">
        <f t="shared" si="67"/>
        <v>40828.535999999993</v>
      </c>
      <c r="R888">
        <f t="shared" si="68"/>
        <v>14450.099999999587</v>
      </c>
      <c r="S888">
        <f t="shared" si="69"/>
        <v>13005.089999999629</v>
      </c>
    </row>
    <row r="889" spans="1:19" x14ac:dyDescent="0.3">
      <c r="A889">
        <v>1017</v>
      </c>
      <c r="B889" s="1">
        <v>45002</v>
      </c>
      <c r="C889" t="s">
        <v>14</v>
      </c>
      <c r="D889" t="s">
        <v>15</v>
      </c>
      <c r="E889">
        <v>2401.81</v>
      </c>
      <c r="F889">
        <v>28</v>
      </c>
      <c r="G889" t="s">
        <v>29</v>
      </c>
      <c r="H889">
        <v>3780.91</v>
      </c>
      <c r="I889">
        <v>3892.73</v>
      </c>
      <c r="J889" t="s">
        <v>17</v>
      </c>
      <c r="K889">
        <v>0.1</v>
      </c>
      <c r="L889" t="s">
        <v>18</v>
      </c>
      <c r="M889" t="s">
        <v>22</v>
      </c>
      <c r="N889" t="s">
        <v>20</v>
      </c>
      <c r="O889" t="str">
        <f t="shared" si="65"/>
        <v>Mar</v>
      </c>
      <c r="P889" t="str">
        <f t="shared" si="66"/>
        <v>Friday</v>
      </c>
      <c r="Q889">
        <f t="shared" si="67"/>
        <v>95278.932000000001</v>
      </c>
      <c r="R889">
        <f t="shared" si="68"/>
        <v>3130.9600000000046</v>
      </c>
      <c r="S889">
        <f t="shared" si="69"/>
        <v>2817.8640000000041</v>
      </c>
    </row>
    <row r="890" spans="1:19" x14ac:dyDescent="0.3">
      <c r="A890">
        <v>1074</v>
      </c>
      <c r="B890" s="1">
        <v>44972</v>
      </c>
      <c r="C890" t="s">
        <v>14</v>
      </c>
      <c r="D890" t="s">
        <v>21</v>
      </c>
      <c r="E890">
        <v>1383.82</v>
      </c>
      <c r="F890">
        <v>1</v>
      </c>
      <c r="G890" t="s">
        <v>16</v>
      </c>
      <c r="H890">
        <v>1304.23</v>
      </c>
      <c r="I890">
        <v>1705.71</v>
      </c>
      <c r="J890" t="s">
        <v>17</v>
      </c>
      <c r="K890">
        <v>0.01</v>
      </c>
      <c r="L890" t="s">
        <v>18</v>
      </c>
      <c r="M890" t="s">
        <v>22</v>
      </c>
      <c r="N890" t="s">
        <v>23</v>
      </c>
      <c r="O890" t="str">
        <f t="shared" si="65"/>
        <v>Feb</v>
      </c>
      <c r="P890" t="str">
        <f t="shared" si="66"/>
        <v>Wednesday</v>
      </c>
      <c r="Q890">
        <f t="shared" si="67"/>
        <v>1291.1876999999999</v>
      </c>
      <c r="R890">
        <f t="shared" si="68"/>
        <v>401.48</v>
      </c>
      <c r="S890">
        <f t="shared" si="69"/>
        <v>397.46520000000004</v>
      </c>
    </row>
    <row r="891" spans="1:19" x14ac:dyDescent="0.3">
      <c r="A891">
        <v>1017</v>
      </c>
      <c r="B891" s="1">
        <v>45086</v>
      </c>
      <c r="C891" t="s">
        <v>33</v>
      </c>
      <c r="D891" t="s">
        <v>34</v>
      </c>
      <c r="E891">
        <v>2638.98</v>
      </c>
      <c r="F891">
        <v>35</v>
      </c>
      <c r="G891" t="s">
        <v>16</v>
      </c>
      <c r="H891">
        <v>4480.63</v>
      </c>
      <c r="I891">
        <v>4884.12</v>
      </c>
      <c r="J891" t="s">
        <v>30</v>
      </c>
      <c r="K891">
        <v>0.04</v>
      </c>
      <c r="L891" t="s">
        <v>18</v>
      </c>
      <c r="M891" t="s">
        <v>19</v>
      </c>
      <c r="N891" t="s">
        <v>36</v>
      </c>
      <c r="O891" t="str">
        <f t="shared" si="65"/>
        <v>Jun</v>
      </c>
      <c r="P891" t="str">
        <f t="shared" si="66"/>
        <v>Friday</v>
      </c>
      <c r="Q891">
        <f t="shared" si="67"/>
        <v>150549.16800000001</v>
      </c>
      <c r="R891">
        <f t="shared" si="68"/>
        <v>14122.149999999992</v>
      </c>
      <c r="S891">
        <f t="shared" si="69"/>
        <v>13557.263999999992</v>
      </c>
    </row>
    <row r="892" spans="1:19" x14ac:dyDescent="0.3">
      <c r="A892">
        <v>1084</v>
      </c>
      <c r="B892" s="1">
        <v>45006</v>
      </c>
      <c r="C892" t="s">
        <v>38</v>
      </c>
      <c r="D892" t="s">
        <v>25</v>
      </c>
      <c r="E892">
        <v>3617.67</v>
      </c>
      <c r="F892">
        <v>40</v>
      </c>
      <c r="G892" t="s">
        <v>26</v>
      </c>
      <c r="H892">
        <v>2890.95</v>
      </c>
      <c r="I892">
        <v>3104.43</v>
      </c>
      <c r="J892" t="s">
        <v>30</v>
      </c>
      <c r="K892">
        <v>0.21</v>
      </c>
      <c r="L892" t="s">
        <v>27</v>
      </c>
      <c r="M892" t="s">
        <v>19</v>
      </c>
      <c r="N892" t="s">
        <v>39</v>
      </c>
      <c r="O892" t="str">
        <f t="shared" si="65"/>
        <v>Mar</v>
      </c>
      <c r="P892" t="str">
        <f t="shared" si="66"/>
        <v>Tuesday</v>
      </c>
      <c r="Q892">
        <f t="shared" si="67"/>
        <v>91354.02</v>
      </c>
      <c r="R892">
        <f t="shared" si="68"/>
        <v>8539.2000000000007</v>
      </c>
      <c r="S892">
        <f t="shared" si="69"/>
        <v>6745.9680000000008</v>
      </c>
    </row>
    <row r="893" spans="1:19" x14ac:dyDescent="0.3">
      <c r="A893">
        <v>1088</v>
      </c>
      <c r="B893" s="1">
        <v>45236</v>
      </c>
      <c r="C893" t="s">
        <v>24</v>
      </c>
      <c r="D893" t="s">
        <v>25</v>
      </c>
      <c r="E893">
        <v>6772.54</v>
      </c>
      <c r="F893">
        <v>8</v>
      </c>
      <c r="G893" t="s">
        <v>26</v>
      </c>
      <c r="H893">
        <v>1786.35</v>
      </c>
      <c r="I893">
        <v>1935.29</v>
      </c>
      <c r="J893" t="s">
        <v>30</v>
      </c>
      <c r="K893">
        <v>0.04</v>
      </c>
      <c r="L893" t="s">
        <v>18</v>
      </c>
      <c r="M893" t="s">
        <v>19</v>
      </c>
      <c r="N893" t="s">
        <v>28</v>
      </c>
      <c r="O893" t="str">
        <f t="shared" si="65"/>
        <v>Nov</v>
      </c>
      <c r="P893" t="str">
        <f t="shared" si="66"/>
        <v>Monday</v>
      </c>
      <c r="Q893">
        <f t="shared" si="67"/>
        <v>13719.168</v>
      </c>
      <c r="R893">
        <f t="shared" si="68"/>
        <v>1191.5200000000004</v>
      </c>
      <c r="S893">
        <f t="shared" si="69"/>
        <v>1143.8592000000003</v>
      </c>
    </row>
    <row r="894" spans="1:19"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c r="O894" t="str">
        <f t="shared" si="65"/>
        <v>Mar</v>
      </c>
      <c r="P894" t="str">
        <f t="shared" si="66"/>
        <v>Monday</v>
      </c>
      <c r="Q894">
        <f t="shared" si="67"/>
        <v>182350.6893</v>
      </c>
      <c r="R894">
        <f t="shared" si="68"/>
        <v>7007.7000000000171</v>
      </c>
      <c r="S894">
        <f t="shared" si="69"/>
        <v>6517.1610000000155</v>
      </c>
    </row>
    <row r="895" spans="1:19" x14ac:dyDescent="0.3">
      <c r="A895">
        <v>1034</v>
      </c>
      <c r="B895" s="1">
        <v>45018</v>
      </c>
      <c r="C895" t="s">
        <v>33</v>
      </c>
      <c r="D895" t="s">
        <v>21</v>
      </c>
      <c r="E895">
        <v>2184.02</v>
      </c>
      <c r="F895">
        <v>7</v>
      </c>
      <c r="G895" t="s">
        <v>35</v>
      </c>
      <c r="H895">
        <v>2492.36</v>
      </c>
      <c r="I895">
        <v>2738.68</v>
      </c>
      <c r="J895" t="s">
        <v>17</v>
      </c>
      <c r="K895">
        <v>0.11</v>
      </c>
      <c r="L895" t="s">
        <v>18</v>
      </c>
      <c r="M895" t="s">
        <v>19</v>
      </c>
      <c r="N895" t="s">
        <v>37</v>
      </c>
      <c r="O895" t="str">
        <f t="shared" si="65"/>
        <v>Apr</v>
      </c>
      <c r="P895" t="str">
        <f t="shared" si="66"/>
        <v>Sunday</v>
      </c>
      <c r="Q895">
        <f t="shared" si="67"/>
        <v>15527.4028</v>
      </c>
      <c r="R895">
        <f t="shared" si="68"/>
        <v>1724.239999999998</v>
      </c>
      <c r="S895">
        <f t="shared" si="69"/>
        <v>1534.5735999999981</v>
      </c>
    </row>
    <row r="896" spans="1:19" x14ac:dyDescent="0.3">
      <c r="A896">
        <v>1006</v>
      </c>
      <c r="B896" s="1">
        <v>45074</v>
      </c>
      <c r="C896" t="s">
        <v>14</v>
      </c>
      <c r="D896" t="s">
        <v>15</v>
      </c>
      <c r="E896">
        <v>8109.33</v>
      </c>
      <c r="F896">
        <v>11</v>
      </c>
      <c r="G896" t="s">
        <v>26</v>
      </c>
      <c r="H896">
        <v>4562.58</v>
      </c>
      <c r="I896">
        <v>4925.17</v>
      </c>
      <c r="J896" t="s">
        <v>30</v>
      </c>
      <c r="K896">
        <v>0.23</v>
      </c>
      <c r="L896" t="s">
        <v>18</v>
      </c>
      <c r="M896" t="s">
        <v>22</v>
      </c>
      <c r="N896" t="s">
        <v>20</v>
      </c>
      <c r="O896" t="str">
        <f t="shared" si="65"/>
        <v>May</v>
      </c>
      <c r="P896" t="str">
        <f t="shared" si="66"/>
        <v>Sunday</v>
      </c>
      <c r="Q896">
        <f t="shared" si="67"/>
        <v>38645.052599999995</v>
      </c>
      <c r="R896">
        <f t="shared" si="68"/>
        <v>3988.4900000000016</v>
      </c>
      <c r="S896">
        <f t="shared" si="69"/>
        <v>3071.1373000000012</v>
      </c>
    </row>
    <row r="897" spans="1:19"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c r="O897" t="str">
        <f t="shared" si="65"/>
        <v>Jun</v>
      </c>
      <c r="P897" t="str">
        <f t="shared" si="66"/>
        <v>Saturday</v>
      </c>
      <c r="Q897">
        <f t="shared" si="67"/>
        <v>150315.59789999999</v>
      </c>
      <c r="R897">
        <f t="shared" si="68"/>
        <v>7248.1500000000142</v>
      </c>
      <c r="S897">
        <f t="shared" si="69"/>
        <v>6015.9645000000119</v>
      </c>
    </row>
    <row r="898" spans="1:19" x14ac:dyDescent="0.3">
      <c r="A898">
        <v>1066</v>
      </c>
      <c r="B898" s="1">
        <v>45128</v>
      </c>
      <c r="C898" t="s">
        <v>33</v>
      </c>
      <c r="D898" t="s">
        <v>34</v>
      </c>
      <c r="E898">
        <v>3492.19</v>
      </c>
      <c r="F898">
        <v>4</v>
      </c>
      <c r="G898" t="s">
        <v>16</v>
      </c>
      <c r="H898">
        <v>868.83</v>
      </c>
      <c r="I898">
        <v>1177.75</v>
      </c>
      <c r="J898" t="s">
        <v>17</v>
      </c>
      <c r="K898">
        <v>0.21</v>
      </c>
      <c r="L898" t="s">
        <v>31</v>
      </c>
      <c r="M898" t="s">
        <v>22</v>
      </c>
      <c r="N898" t="s">
        <v>36</v>
      </c>
      <c r="O898" t="str">
        <f t="shared" si="65"/>
        <v>Jul</v>
      </c>
      <c r="P898" t="str">
        <f t="shared" si="66"/>
        <v>Friday</v>
      </c>
      <c r="Q898">
        <f t="shared" si="67"/>
        <v>2745.5028000000002</v>
      </c>
      <c r="R898">
        <f t="shared" si="68"/>
        <v>1235.6799999999998</v>
      </c>
      <c r="S898">
        <f t="shared" si="69"/>
        <v>976.18719999999996</v>
      </c>
    </row>
    <row r="899" spans="1:19"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c r="O899" t="str">
        <f t="shared" ref="O899:O962" si="70">TEXT(B899,"mmm")</f>
        <v>Aug</v>
      </c>
      <c r="P899" t="str">
        <f t="shared" ref="P899:P962" si="71">TEXT(B899,"dddd")</f>
        <v>Wednesday</v>
      </c>
      <c r="Q899">
        <f t="shared" ref="Q899:Q962" si="72">(F899*H899)*(1-K899)</f>
        <v>1276.125</v>
      </c>
      <c r="R899">
        <f t="shared" ref="R899:R962" si="73">(I899-H899)*F899</f>
        <v>4935.4999999999745</v>
      </c>
      <c r="S899">
        <f t="shared" ref="S899:S962" si="74">((I899-H899)*F899)*(1-K899)</f>
        <v>4096.4649999999783</v>
      </c>
    </row>
    <row r="900" spans="1:19" x14ac:dyDescent="0.3">
      <c r="A900">
        <v>1043</v>
      </c>
      <c r="B900" s="1">
        <v>45279</v>
      </c>
      <c r="C900" t="s">
        <v>38</v>
      </c>
      <c r="D900" t="s">
        <v>25</v>
      </c>
      <c r="E900">
        <v>1633.76</v>
      </c>
      <c r="F900">
        <v>12</v>
      </c>
      <c r="G900" t="s">
        <v>35</v>
      </c>
      <c r="H900">
        <v>4920.46</v>
      </c>
      <c r="I900">
        <v>5079.68</v>
      </c>
      <c r="J900" t="s">
        <v>30</v>
      </c>
      <c r="K900">
        <v>0.21</v>
      </c>
      <c r="L900" t="s">
        <v>31</v>
      </c>
      <c r="M900" t="s">
        <v>22</v>
      </c>
      <c r="N900" t="s">
        <v>39</v>
      </c>
      <c r="O900" t="str">
        <f t="shared" si="70"/>
        <v>Dec</v>
      </c>
      <c r="P900" t="str">
        <f t="shared" si="71"/>
        <v>Tuesday</v>
      </c>
      <c r="Q900">
        <f t="shared" si="72"/>
        <v>46645.960800000008</v>
      </c>
      <c r="R900">
        <f t="shared" si="73"/>
        <v>1910.6400000000031</v>
      </c>
      <c r="S900">
        <f t="shared" si="74"/>
        <v>1509.4056000000026</v>
      </c>
    </row>
    <row r="901" spans="1:19" x14ac:dyDescent="0.3">
      <c r="A901">
        <v>1075</v>
      </c>
      <c r="B901" s="1">
        <v>44928</v>
      </c>
      <c r="C901" t="s">
        <v>24</v>
      </c>
      <c r="D901" t="s">
        <v>21</v>
      </c>
      <c r="E901">
        <v>919.09</v>
      </c>
      <c r="F901">
        <v>26</v>
      </c>
      <c r="G901" t="s">
        <v>35</v>
      </c>
      <c r="H901">
        <v>4535.38</v>
      </c>
      <c r="I901">
        <v>4557.5600000000004</v>
      </c>
      <c r="J901" t="s">
        <v>30</v>
      </c>
      <c r="K901">
        <v>0</v>
      </c>
      <c r="L901" t="s">
        <v>31</v>
      </c>
      <c r="M901" t="s">
        <v>19</v>
      </c>
      <c r="N901" t="s">
        <v>47</v>
      </c>
      <c r="O901" t="str">
        <f t="shared" si="70"/>
        <v>Jan</v>
      </c>
      <c r="P901" t="str">
        <f t="shared" si="71"/>
        <v>Monday</v>
      </c>
      <c r="Q901">
        <f t="shared" si="72"/>
        <v>117919.88</v>
      </c>
      <c r="R901">
        <f t="shared" si="73"/>
        <v>576.68000000000757</v>
      </c>
      <c r="S901">
        <f t="shared" si="74"/>
        <v>576.68000000000757</v>
      </c>
    </row>
    <row r="902" spans="1:19"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c r="O902" t="str">
        <f t="shared" si="70"/>
        <v>Aug</v>
      </c>
      <c r="P902" t="str">
        <f t="shared" si="71"/>
        <v>Sunday</v>
      </c>
      <c r="Q902">
        <f t="shared" si="72"/>
        <v>8876.9519999999993</v>
      </c>
      <c r="R902">
        <f t="shared" si="73"/>
        <v>452.9600000000006</v>
      </c>
      <c r="S902">
        <f t="shared" si="74"/>
        <v>326.13120000000043</v>
      </c>
    </row>
    <row r="903" spans="1:19"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c r="O903" t="str">
        <f t="shared" si="70"/>
        <v>Oct</v>
      </c>
      <c r="P903" t="str">
        <f t="shared" si="71"/>
        <v>Monday</v>
      </c>
      <c r="Q903">
        <f t="shared" si="72"/>
        <v>186222.46240000002</v>
      </c>
      <c r="R903">
        <f t="shared" si="73"/>
        <v>5581.1799999999967</v>
      </c>
      <c r="S903">
        <f t="shared" si="74"/>
        <v>5413.7445999999964</v>
      </c>
    </row>
    <row r="904" spans="1:19" x14ac:dyDescent="0.3">
      <c r="A904">
        <v>1080</v>
      </c>
      <c r="B904" s="1">
        <v>45159</v>
      </c>
      <c r="C904" t="s">
        <v>24</v>
      </c>
      <c r="D904" t="s">
        <v>25</v>
      </c>
      <c r="E904">
        <v>5677.74</v>
      </c>
      <c r="F904">
        <v>12</v>
      </c>
      <c r="G904" t="s">
        <v>35</v>
      </c>
      <c r="H904">
        <v>2316.13</v>
      </c>
      <c r="I904">
        <v>2525.27</v>
      </c>
      <c r="J904" t="s">
        <v>17</v>
      </c>
      <c r="K904">
        <v>0.12</v>
      </c>
      <c r="L904" t="s">
        <v>31</v>
      </c>
      <c r="M904" t="s">
        <v>22</v>
      </c>
      <c r="N904" t="s">
        <v>28</v>
      </c>
      <c r="O904" t="str">
        <f t="shared" si="70"/>
        <v>Aug</v>
      </c>
      <c r="P904" t="str">
        <f t="shared" si="71"/>
        <v>Monday</v>
      </c>
      <c r="Q904">
        <f t="shared" si="72"/>
        <v>24458.3328</v>
      </c>
      <c r="R904">
        <f t="shared" si="73"/>
        <v>2509.6799999999985</v>
      </c>
      <c r="S904">
        <f t="shared" si="74"/>
        <v>2208.5183999999986</v>
      </c>
    </row>
    <row r="905" spans="1:19" x14ac:dyDescent="0.3">
      <c r="A905">
        <v>1095</v>
      </c>
      <c r="B905" s="1">
        <v>45003</v>
      </c>
      <c r="C905" t="s">
        <v>38</v>
      </c>
      <c r="D905" t="s">
        <v>25</v>
      </c>
      <c r="E905">
        <v>8057.67</v>
      </c>
      <c r="F905">
        <v>43</v>
      </c>
      <c r="G905" t="s">
        <v>16</v>
      </c>
      <c r="H905">
        <v>1331.86</v>
      </c>
      <c r="I905">
        <v>1758.98</v>
      </c>
      <c r="J905" t="s">
        <v>17</v>
      </c>
      <c r="K905">
        <v>0.23</v>
      </c>
      <c r="L905" t="s">
        <v>27</v>
      </c>
      <c r="M905" t="s">
        <v>22</v>
      </c>
      <c r="N905" t="s">
        <v>39</v>
      </c>
      <c r="O905" t="str">
        <f t="shared" si="70"/>
        <v>Mar</v>
      </c>
      <c r="P905" t="str">
        <f t="shared" si="71"/>
        <v>Saturday</v>
      </c>
      <c r="Q905">
        <f t="shared" si="72"/>
        <v>44097.884599999998</v>
      </c>
      <c r="R905">
        <f t="shared" si="73"/>
        <v>18366.160000000003</v>
      </c>
      <c r="S905">
        <f t="shared" si="74"/>
        <v>14141.943200000003</v>
      </c>
    </row>
    <row r="906" spans="1:19"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c r="O906" t="str">
        <f t="shared" si="70"/>
        <v>Apr</v>
      </c>
      <c r="P906" t="str">
        <f t="shared" si="71"/>
        <v>Wednesday</v>
      </c>
      <c r="Q906">
        <f t="shared" si="72"/>
        <v>141629.56200000001</v>
      </c>
      <c r="R906">
        <f t="shared" si="73"/>
        <v>14846.620000000008</v>
      </c>
      <c r="S906">
        <f t="shared" si="74"/>
        <v>12916.559400000007</v>
      </c>
    </row>
    <row r="907" spans="1:19"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c r="O907" t="str">
        <f t="shared" si="70"/>
        <v>Jun</v>
      </c>
      <c r="P907" t="str">
        <f t="shared" si="71"/>
        <v>Saturday</v>
      </c>
      <c r="Q907">
        <f t="shared" si="72"/>
        <v>33898.32</v>
      </c>
      <c r="R907">
        <f t="shared" si="73"/>
        <v>6481.8600000000042</v>
      </c>
      <c r="S907">
        <f t="shared" si="74"/>
        <v>4666.9392000000025</v>
      </c>
    </row>
    <row r="908" spans="1:19"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c r="O908" t="str">
        <f t="shared" si="70"/>
        <v>Apr</v>
      </c>
      <c r="P908" t="str">
        <f t="shared" si="71"/>
        <v>Thursday</v>
      </c>
      <c r="Q908">
        <f t="shared" si="72"/>
        <v>97815.643199999991</v>
      </c>
      <c r="R908">
        <f t="shared" si="73"/>
        <v>3115.679999999993</v>
      </c>
      <c r="S908">
        <f t="shared" si="74"/>
        <v>2679.4847999999938</v>
      </c>
    </row>
    <row r="909" spans="1:19" x14ac:dyDescent="0.3">
      <c r="A909">
        <v>1004</v>
      </c>
      <c r="B909" s="1">
        <v>45120</v>
      </c>
      <c r="C909" t="s">
        <v>38</v>
      </c>
      <c r="D909" t="s">
        <v>34</v>
      </c>
      <c r="E909">
        <v>1526.38</v>
      </c>
      <c r="F909">
        <v>16</v>
      </c>
      <c r="G909" t="s">
        <v>29</v>
      </c>
      <c r="H909">
        <v>1067.83</v>
      </c>
      <c r="I909">
        <v>1189.22</v>
      </c>
      <c r="J909" t="s">
        <v>17</v>
      </c>
      <c r="K909">
        <v>0.26</v>
      </c>
      <c r="L909" t="s">
        <v>31</v>
      </c>
      <c r="M909" t="s">
        <v>22</v>
      </c>
      <c r="N909" t="s">
        <v>48</v>
      </c>
      <c r="O909" t="str">
        <f t="shared" si="70"/>
        <v>Jul</v>
      </c>
      <c r="P909" t="str">
        <f t="shared" si="71"/>
        <v>Thursday</v>
      </c>
      <c r="Q909">
        <f t="shared" si="72"/>
        <v>12643.107199999999</v>
      </c>
      <c r="R909">
        <f t="shared" si="73"/>
        <v>1942.2400000000016</v>
      </c>
      <c r="S909">
        <f t="shared" si="74"/>
        <v>1437.2576000000013</v>
      </c>
    </row>
    <row r="910" spans="1:19" x14ac:dyDescent="0.3">
      <c r="A910">
        <v>1004</v>
      </c>
      <c r="B910" s="1">
        <v>45092</v>
      </c>
      <c r="C910" t="s">
        <v>42</v>
      </c>
      <c r="D910" t="s">
        <v>34</v>
      </c>
      <c r="E910">
        <v>6277.59</v>
      </c>
      <c r="F910">
        <v>13</v>
      </c>
      <c r="G910" t="s">
        <v>16</v>
      </c>
      <c r="H910">
        <v>3087.73</v>
      </c>
      <c r="I910">
        <v>3263.96</v>
      </c>
      <c r="J910" t="s">
        <v>30</v>
      </c>
      <c r="K910">
        <v>0.24</v>
      </c>
      <c r="L910" t="s">
        <v>18</v>
      </c>
      <c r="M910" t="s">
        <v>22</v>
      </c>
      <c r="N910" t="s">
        <v>52</v>
      </c>
      <c r="O910" t="str">
        <f t="shared" si="70"/>
        <v>Jun</v>
      </c>
      <c r="P910" t="str">
        <f t="shared" si="71"/>
        <v>Thursday</v>
      </c>
      <c r="Q910">
        <f t="shared" si="72"/>
        <v>30506.772399999998</v>
      </c>
      <c r="R910">
        <f t="shared" si="73"/>
        <v>2290.9900000000002</v>
      </c>
      <c r="S910">
        <f t="shared" si="74"/>
        <v>1741.1524000000002</v>
      </c>
    </row>
    <row r="911" spans="1:19"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c r="O911" t="str">
        <f t="shared" si="70"/>
        <v>Dec</v>
      </c>
      <c r="P911" t="str">
        <f t="shared" si="71"/>
        <v>Monday</v>
      </c>
      <c r="Q911">
        <f t="shared" si="72"/>
        <v>20488.469999999998</v>
      </c>
      <c r="R911">
        <f t="shared" si="73"/>
        <v>6353.0000000000027</v>
      </c>
      <c r="S911">
        <f t="shared" si="74"/>
        <v>4510.6300000000019</v>
      </c>
    </row>
    <row r="912" spans="1:19"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c r="O912" t="str">
        <f t="shared" si="70"/>
        <v>Mar</v>
      </c>
      <c r="P912" t="str">
        <f t="shared" si="71"/>
        <v>Friday</v>
      </c>
      <c r="Q912">
        <f t="shared" si="72"/>
        <v>7923.0527999999995</v>
      </c>
      <c r="R912">
        <f t="shared" si="73"/>
        <v>899.79999999996107</v>
      </c>
      <c r="S912">
        <f t="shared" si="74"/>
        <v>647.85599999997191</v>
      </c>
    </row>
    <row r="913" spans="1:19" x14ac:dyDescent="0.3">
      <c r="A913">
        <v>1067</v>
      </c>
      <c r="B913" s="1">
        <v>45100</v>
      </c>
      <c r="C913" t="s">
        <v>14</v>
      </c>
      <c r="D913" t="s">
        <v>15</v>
      </c>
      <c r="E913">
        <v>914.5</v>
      </c>
      <c r="F913">
        <v>11</v>
      </c>
      <c r="G913" t="s">
        <v>16</v>
      </c>
      <c r="H913">
        <v>3435.68</v>
      </c>
      <c r="I913">
        <v>3552.6299999999901</v>
      </c>
      <c r="J913" t="s">
        <v>30</v>
      </c>
      <c r="K913">
        <v>0.27</v>
      </c>
      <c r="L913" t="s">
        <v>18</v>
      </c>
      <c r="M913" t="s">
        <v>22</v>
      </c>
      <c r="N913" t="s">
        <v>20</v>
      </c>
      <c r="O913" t="str">
        <f t="shared" si="70"/>
        <v>Jun</v>
      </c>
      <c r="P913" t="str">
        <f t="shared" si="71"/>
        <v>Friday</v>
      </c>
      <c r="Q913">
        <f t="shared" si="72"/>
        <v>27588.510399999996</v>
      </c>
      <c r="R913">
        <f t="shared" si="73"/>
        <v>1286.449999999893</v>
      </c>
      <c r="S913">
        <f t="shared" si="74"/>
        <v>939.10849999992183</v>
      </c>
    </row>
    <row r="914" spans="1:19" x14ac:dyDescent="0.3">
      <c r="A914">
        <v>1096</v>
      </c>
      <c r="B914" s="1">
        <v>45048</v>
      </c>
      <c r="C914" t="s">
        <v>42</v>
      </c>
      <c r="D914" t="s">
        <v>34</v>
      </c>
      <c r="E914">
        <v>4649.88</v>
      </c>
      <c r="F914">
        <v>32</v>
      </c>
      <c r="G914" t="s">
        <v>16</v>
      </c>
      <c r="H914">
        <v>991.63</v>
      </c>
      <c r="I914">
        <v>1065.55</v>
      </c>
      <c r="J914" t="s">
        <v>17</v>
      </c>
      <c r="K914">
        <v>0.22</v>
      </c>
      <c r="L914" t="s">
        <v>27</v>
      </c>
      <c r="M914" t="s">
        <v>22</v>
      </c>
      <c r="N914" t="s">
        <v>52</v>
      </c>
      <c r="O914" t="str">
        <f t="shared" si="70"/>
        <v>May</v>
      </c>
      <c r="P914" t="str">
        <f t="shared" si="71"/>
        <v>Tuesday</v>
      </c>
      <c r="Q914">
        <f t="shared" si="72"/>
        <v>24751.084800000001</v>
      </c>
      <c r="R914">
        <f t="shared" si="73"/>
        <v>2365.4399999999987</v>
      </c>
      <c r="S914">
        <f t="shared" si="74"/>
        <v>1845.0431999999989</v>
      </c>
    </row>
    <row r="915" spans="1:19" x14ac:dyDescent="0.3">
      <c r="A915">
        <v>1067</v>
      </c>
      <c r="B915" s="1">
        <v>45069</v>
      </c>
      <c r="C915" t="s">
        <v>14</v>
      </c>
      <c r="D915" t="s">
        <v>15</v>
      </c>
      <c r="E915">
        <v>3133.99</v>
      </c>
      <c r="F915">
        <v>49</v>
      </c>
      <c r="G915" t="s">
        <v>16</v>
      </c>
      <c r="H915">
        <v>2628.38</v>
      </c>
      <c r="I915">
        <v>2644.54</v>
      </c>
      <c r="J915" t="s">
        <v>17</v>
      </c>
      <c r="K915">
        <v>0.11</v>
      </c>
      <c r="L915" t="s">
        <v>18</v>
      </c>
      <c r="M915" t="s">
        <v>19</v>
      </c>
      <c r="N915" t="s">
        <v>20</v>
      </c>
      <c r="O915" t="str">
        <f t="shared" si="70"/>
        <v>May</v>
      </c>
      <c r="P915" t="str">
        <f t="shared" si="71"/>
        <v>Tuesday</v>
      </c>
      <c r="Q915">
        <f t="shared" si="72"/>
        <v>114623.65180000001</v>
      </c>
      <c r="R915">
        <f t="shared" si="73"/>
        <v>791.83999999999287</v>
      </c>
      <c r="S915">
        <f t="shared" si="74"/>
        <v>704.73759999999368</v>
      </c>
    </row>
    <row r="916" spans="1:19" x14ac:dyDescent="0.3">
      <c r="A916">
        <v>1027</v>
      </c>
      <c r="B916" s="1">
        <v>45032</v>
      </c>
      <c r="C916" t="s">
        <v>42</v>
      </c>
      <c r="D916" t="s">
        <v>34</v>
      </c>
      <c r="E916">
        <v>8241.57</v>
      </c>
      <c r="F916">
        <v>7</v>
      </c>
      <c r="G916" t="s">
        <v>26</v>
      </c>
      <c r="H916">
        <v>2371.85</v>
      </c>
      <c r="I916">
        <v>2457.29</v>
      </c>
      <c r="J916" t="s">
        <v>30</v>
      </c>
      <c r="K916">
        <v>0.03</v>
      </c>
      <c r="L916" t="s">
        <v>18</v>
      </c>
      <c r="M916" t="s">
        <v>22</v>
      </c>
      <c r="N916" t="s">
        <v>52</v>
      </c>
      <c r="O916" t="str">
        <f t="shared" si="70"/>
        <v>Apr</v>
      </c>
      <c r="P916" t="str">
        <f t="shared" si="71"/>
        <v>Sunday</v>
      </c>
      <c r="Q916">
        <f t="shared" si="72"/>
        <v>16104.861500000001</v>
      </c>
      <c r="R916">
        <f t="shared" si="73"/>
        <v>598.08000000000038</v>
      </c>
      <c r="S916">
        <f t="shared" si="74"/>
        <v>580.13760000000036</v>
      </c>
    </row>
    <row r="917" spans="1:19" x14ac:dyDescent="0.3">
      <c r="A917">
        <v>1093</v>
      </c>
      <c r="B917" s="1">
        <v>45231</v>
      </c>
      <c r="C917" t="s">
        <v>33</v>
      </c>
      <c r="D917" t="s">
        <v>15</v>
      </c>
      <c r="E917">
        <v>664.09</v>
      </c>
      <c r="F917">
        <v>46</v>
      </c>
      <c r="G917" t="s">
        <v>29</v>
      </c>
      <c r="H917">
        <v>401.64</v>
      </c>
      <c r="I917">
        <v>757.26</v>
      </c>
      <c r="J917" t="s">
        <v>30</v>
      </c>
      <c r="K917">
        <v>0.21</v>
      </c>
      <c r="L917" t="s">
        <v>31</v>
      </c>
      <c r="M917" t="s">
        <v>22</v>
      </c>
      <c r="N917" t="s">
        <v>53</v>
      </c>
      <c r="O917" t="str">
        <f t="shared" si="70"/>
        <v>Nov</v>
      </c>
      <c r="P917" t="str">
        <f t="shared" si="71"/>
        <v>Wednesday</v>
      </c>
      <c r="Q917">
        <f t="shared" si="72"/>
        <v>14595.597599999999</v>
      </c>
      <c r="R917">
        <f t="shared" si="73"/>
        <v>16358.52</v>
      </c>
      <c r="S917">
        <f t="shared" si="74"/>
        <v>12923.230800000001</v>
      </c>
    </row>
    <row r="918" spans="1:19"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c r="O918" t="str">
        <f t="shared" si="70"/>
        <v>Dec</v>
      </c>
      <c r="P918" t="str">
        <f t="shared" si="71"/>
        <v>Tuesday</v>
      </c>
      <c r="Q918">
        <f t="shared" si="72"/>
        <v>32025.842199999999</v>
      </c>
      <c r="R918">
        <f t="shared" si="73"/>
        <v>1423.1800000000012</v>
      </c>
      <c r="S918">
        <f t="shared" si="74"/>
        <v>1010.4578000000008</v>
      </c>
    </row>
    <row r="919" spans="1:19" x14ac:dyDescent="0.3">
      <c r="A919">
        <v>1050</v>
      </c>
      <c r="B919" s="1">
        <v>45243</v>
      </c>
      <c r="C919" t="s">
        <v>42</v>
      </c>
      <c r="D919" t="s">
        <v>15</v>
      </c>
      <c r="E919">
        <v>4638.47</v>
      </c>
      <c r="F919">
        <v>28</v>
      </c>
      <c r="G919" t="s">
        <v>26</v>
      </c>
      <c r="H919">
        <v>1711.63</v>
      </c>
      <c r="I919">
        <v>1951.24</v>
      </c>
      <c r="J919" t="s">
        <v>30</v>
      </c>
      <c r="K919">
        <v>0.22</v>
      </c>
      <c r="L919" t="s">
        <v>18</v>
      </c>
      <c r="M919" t="s">
        <v>19</v>
      </c>
      <c r="N919" t="s">
        <v>49</v>
      </c>
      <c r="O919" t="str">
        <f t="shared" si="70"/>
        <v>Nov</v>
      </c>
      <c r="P919" t="str">
        <f t="shared" si="71"/>
        <v>Monday</v>
      </c>
      <c r="Q919">
        <f t="shared" si="72"/>
        <v>37381.999199999998</v>
      </c>
      <c r="R919">
        <f t="shared" si="73"/>
        <v>6709.0799999999972</v>
      </c>
      <c r="S919">
        <f t="shared" si="74"/>
        <v>5233.0823999999984</v>
      </c>
    </row>
    <row r="920" spans="1:19"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c r="O920" t="str">
        <f t="shared" si="70"/>
        <v>May</v>
      </c>
      <c r="P920" t="str">
        <f t="shared" si="71"/>
        <v>Wednesday</v>
      </c>
      <c r="Q920">
        <f t="shared" si="72"/>
        <v>85436.193599999984</v>
      </c>
      <c r="R920">
        <f t="shared" si="73"/>
        <v>12289.340000000009</v>
      </c>
      <c r="S920">
        <f t="shared" si="74"/>
        <v>8848.3248000000058</v>
      </c>
    </row>
    <row r="921" spans="1:19"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c r="O921" t="str">
        <f t="shared" si="70"/>
        <v>Jan</v>
      </c>
      <c r="P921" t="str">
        <f t="shared" si="71"/>
        <v>Monday</v>
      </c>
      <c r="Q921">
        <f t="shared" si="72"/>
        <v>45416.186399999999</v>
      </c>
      <c r="R921">
        <f t="shared" si="73"/>
        <v>10224.650000000005</v>
      </c>
      <c r="S921">
        <f t="shared" si="74"/>
        <v>7770.734000000004</v>
      </c>
    </row>
    <row r="922" spans="1:19" x14ac:dyDescent="0.3">
      <c r="A922">
        <v>1019</v>
      </c>
      <c r="B922" s="1">
        <v>45188</v>
      </c>
      <c r="C922" t="s">
        <v>33</v>
      </c>
      <c r="D922" t="s">
        <v>21</v>
      </c>
      <c r="E922">
        <v>6705.4</v>
      </c>
      <c r="F922">
        <v>45</v>
      </c>
      <c r="G922" t="s">
        <v>29</v>
      </c>
      <c r="H922">
        <v>2590.64</v>
      </c>
      <c r="I922">
        <v>3036.18</v>
      </c>
      <c r="J922" t="s">
        <v>30</v>
      </c>
      <c r="K922">
        <v>0.05</v>
      </c>
      <c r="L922" t="s">
        <v>27</v>
      </c>
      <c r="M922" t="s">
        <v>22</v>
      </c>
      <c r="N922" t="s">
        <v>37</v>
      </c>
      <c r="O922" t="str">
        <f t="shared" si="70"/>
        <v>Sep</v>
      </c>
      <c r="P922" t="str">
        <f t="shared" si="71"/>
        <v>Tuesday</v>
      </c>
      <c r="Q922">
        <f t="shared" si="72"/>
        <v>110749.85999999999</v>
      </c>
      <c r="R922">
        <f t="shared" si="73"/>
        <v>20049.3</v>
      </c>
      <c r="S922">
        <f t="shared" si="74"/>
        <v>19046.834999999999</v>
      </c>
    </row>
    <row r="923" spans="1:19"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c r="O923" t="str">
        <f t="shared" si="70"/>
        <v>Mar</v>
      </c>
      <c r="P923" t="str">
        <f t="shared" si="71"/>
        <v>Tuesday</v>
      </c>
      <c r="Q923">
        <f t="shared" si="72"/>
        <v>12422.242499999998</v>
      </c>
      <c r="R923">
        <f t="shared" si="73"/>
        <v>8634.4299999999985</v>
      </c>
      <c r="S923">
        <f t="shared" si="74"/>
        <v>8030.0198999999984</v>
      </c>
    </row>
    <row r="924" spans="1:19"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c r="O924" t="str">
        <f t="shared" si="70"/>
        <v>Dec</v>
      </c>
      <c r="P924" t="str">
        <f t="shared" si="71"/>
        <v>Monday</v>
      </c>
      <c r="Q924">
        <f t="shared" si="72"/>
        <v>54085.247999999992</v>
      </c>
      <c r="R924">
        <f t="shared" si="73"/>
        <v>762.44000000000051</v>
      </c>
      <c r="S924">
        <f t="shared" si="74"/>
        <v>686.19600000000048</v>
      </c>
    </row>
    <row r="925" spans="1:19" x14ac:dyDescent="0.3">
      <c r="A925">
        <v>1082</v>
      </c>
      <c r="B925" s="1">
        <v>45149</v>
      </c>
      <c r="C925" t="s">
        <v>33</v>
      </c>
      <c r="D925" t="s">
        <v>15</v>
      </c>
      <c r="E925">
        <v>3207.37</v>
      </c>
      <c r="F925">
        <v>43</v>
      </c>
      <c r="G925" t="s">
        <v>16</v>
      </c>
      <c r="H925">
        <v>2289.2199999999998</v>
      </c>
      <c r="I925">
        <v>2581</v>
      </c>
      <c r="J925" t="s">
        <v>30</v>
      </c>
      <c r="K925">
        <v>0.05</v>
      </c>
      <c r="L925" t="s">
        <v>27</v>
      </c>
      <c r="M925" t="s">
        <v>19</v>
      </c>
      <c r="N925" t="s">
        <v>53</v>
      </c>
      <c r="O925" t="str">
        <f t="shared" si="70"/>
        <v>Aug</v>
      </c>
      <c r="P925" t="str">
        <f t="shared" si="71"/>
        <v>Friday</v>
      </c>
      <c r="Q925">
        <f t="shared" si="72"/>
        <v>93514.636999999988</v>
      </c>
      <c r="R925">
        <f t="shared" si="73"/>
        <v>12546.540000000008</v>
      </c>
      <c r="S925">
        <f t="shared" si="74"/>
        <v>11919.213000000007</v>
      </c>
    </row>
    <row r="926" spans="1:19" x14ac:dyDescent="0.3">
      <c r="A926">
        <v>1092</v>
      </c>
      <c r="B926" s="1">
        <v>44967</v>
      </c>
      <c r="C926" t="s">
        <v>14</v>
      </c>
      <c r="D926" t="s">
        <v>34</v>
      </c>
      <c r="E926">
        <v>5426.42</v>
      </c>
      <c r="F926">
        <v>47</v>
      </c>
      <c r="G926" t="s">
        <v>16</v>
      </c>
      <c r="H926">
        <v>3681.53</v>
      </c>
      <c r="I926">
        <v>4076.96</v>
      </c>
      <c r="J926" t="s">
        <v>17</v>
      </c>
      <c r="K926">
        <v>0.17</v>
      </c>
      <c r="L926" t="s">
        <v>18</v>
      </c>
      <c r="M926" t="s">
        <v>22</v>
      </c>
      <c r="N926" t="s">
        <v>46</v>
      </c>
      <c r="O926" t="str">
        <f t="shared" si="70"/>
        <v>Feb</v>
      </c>
      <c r="P926" t="str">
        <f t="shared" si="71"/>
        <v>Friday</v>
      </c>
      <c r="Q926">
        <f t="shared" si="72"/>
        <v>143616.4853</v>
      </c>
      <c r="R926">
        <f t="shared" si="73"/>
        <v>18585.209999999992</v>
      </c>
      <c r="S926">
        <f t="shared" si="74"/>
        <v>15425.724299999993</v>
      </c>
    </row>
    <row r="927" spans="1:19"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c r="O927" t="str">
        <f t="shared" si="70"/>
        <v>Jul</v>
      </c>
      <c r="P927" t="str">
        <f t="shared" si="71"/>
        <v>Sunday</v>
      </c>
      <c r="Q927">
        <f t="shared" si="72"/>
        <v>77681.34139999999</v>
      </c>
      <c r="R927">
        <f t="shared" si="73"/>
        <v>480.22000000000662</v>
      </c>
      <c r="S927">
        <f t="shared" si="74"/>
        <v>340.95620000000469</v>
      </c>
    </row>
    <row r="928" spans="1:19"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c r="O928" t="str">
        <f t="shared" si="70"/>
        <v>Sep</v>
      </c>
      <c r="P928" t="str">
        <f t="shared" si="71"/>
        <v>Thursday</v>
      </c>
      <c r="Q928">
        <f t="shared" si="72"/>
        <v>52892.455000000002</v>
      </c>
      <c r="R928">
        <f t="shared" si="73"/>
        <v>6983.749999999759</v>
      </c>
      <c r="S928">
        <f t="shared" si="74"/>
        <v>5377.4874999998146</v>
      </c>
    </row>
    <row r="929" spans="1:19" x14ac:dyDescent="0.3">
      <c r="A929">
        <v>1022</v>
      </c>
      <c r="B929" s="1">
        <v>45254</v>
      </c>
      <c r="C929" t="s">
        <v>38</v>
      </c>
      <c r="D929" t="s">
        <v>21</v>
      </c>
      <c r="E929">
        <v>8906.24</v>
      </c>
      <c r="F929">
        <v>29</v>
      </c>
      <c r="G929" t="s">
        <v>16</v>
      </c>
      <c r="H929">
        <v>479.58</v>
      </c>
      <c r="I929">
        <v>909.88</v>
      </c>
      <c r="J929" t="s">
        <v>17</v>
      </c>
      <c r="K929">
        <v>0.13</v>
      </c>
      <c r="L929" t="s">
        <v>31</v>
      </c>
      <c r="M929" t="s">
        <v>22</v>
      </c>
      <c r="N929" t="s">
        <v>41</v>
      </c>
      <c r="O929" t="str">
        <f t="shared" si="70"/>
        <v>Nov</v>
      </c>
      <c r="P929" t="str">
        <f t="shared" si="71"/>
        <v>Friday</v>
      </c>
      <c r="Q929">
        <f t="shared" si="72"/>
        <v>12099.803399999999</v>
      </c>
      <c r="R929">
        <f t="shared" si="73"/>
        <v>12478.7</v>
      </c>
      <c r="S929">
        <f t="shared" si="74"/>
        <v>10856.469000000001</v>
      </c>
    </row>
    <row r="930" spans="1:19" x14ac:dyDescent="0.3">
      <c r="A930">
        <v>1021</v>
      </c>
      <c r="B930" s="1">
        <v>45104</v>
      </c>
      <c r="C930" t="s">
        <v>33</v>
      </c>
      <c r="D930" t="s">
        <v>15</v>
      </c>
      <c r="E930">
        <v>3777.53</v>
      </c>
      <c r="F930">
        <v>19</v>
      </c>
      <c r="G930" t="s">
        <v>35</v>
      </c>
      <c r="H930">
        <v>1222.4000000000001</v>
      </c>
      <c r="I930">
        <v>1464.71</v>
      </c>
      <c r="J930" t="s">
        <v>30</v>
      </c>
      <c r="K930">
        <v>0</v>
      </c>
      <c r="L930" t="s">
        <v>31</v>
      </c>
      <c r="M930" t="s">
        <v>22</v>
      </c>
      <c r="N930" t="s">
        <v>53</v>
      </c>
      <c r="O930" t="str">
        <f t="shared" si="70"/>
        <v>Jun</v>
      </c>
      <c r="P930" t="str">
        <f t="shared" si="71"/>
        <v>Tuesday</v>
      </c>
      <c r="Q930">
        <f t="shared" si="72"/>
        <v>23225.600000000002</v>
      </c>
      <c r="R930">
        <f t="shared" si="73"/>
        <v>4603.8899999999994</v>
      </c>
      <c r="S930">
        <f t="shared" si="74"/>
        <v>4603.8899999999994</v>
      </c>
    </row>
    <row r="931" spans="1:19" x14ac:dyDescent="0.3">
      <c r="A931">
        <v>1070</v>
      </c>
      <c r="B931" s="1">
        <v>45274</v>
      </c>
      <c r="C931" t="s">
        <v>33</v>
      </c>
      <c r="D931" t="s">
        <v>25</v>
      </c>
      <c r="E931">
        <v>2032.15</v>
      </c>
      <c r="F931">
        <v>33</v>
      </c>
      <c r="G931" t="s">
        <v>26</v>
      </c>
      <c r="H931">
        <v>866.42</v>
      </c>
      <c r="I931">
        <v>878.43</v>
      </c>
      <c r="J931" t="s">
        <v>30</v>
      </c>
      <c r="K931">
        <v>0.09</v>
      </c>
      <c r="L931" t="s">
        <v>18</v>
      </c>
      <c r="M931" t="s">
        <v>22</v>
      </c>
      <c r="N931" t="s">
        <v>44</v>
      </c>
      <c r="O931" t="str">
        <f t="shared" si="70"/>
        <v>Dec</v>
      </c>
      <c r="P931" t="str">
        <f t="shared" si="71"/>
        <v>Thursday</v>
      </c>
      <c r="Q931">
        <f t="shared" si="72"/>
        <v>26018.592599999996</v>
      </c>
      <c r="R931">
        <f t="shared" si="73"/>
        <v>396.3299999999997</v>
      </c>
      <c r="S931">
        <f t="shared" si="74"/>
        <v>360.66029999999972</v>
      </c>
    </row>
    <row r="932" spans="1:19" x14ac:dyDescent="0.3">
      <c r="A932">
        <v>1001</v>
      </c>
      <c r="B932" s="1">
        <v>45244</v>
      </c>
      <c r="C932" t="s">
        <v>24</v>
      </c>
      <c r="D932" t="s">
        <v>15</v>
      </c>
      <c r="E932">
        <v>4944.99</v>
      </c>
      <c r="F932">
        <v>36</v>
      </c>
      <c r="G932" t="s">
        <v>16</v>
      </c>
      <c r="H932">
        <v>666.84</v>
      </c>
      <c r="I932">
        <v>682.24</v>
      </c>
      <c r="J932" t="s">
        <v>30</v>
      </c>
      <c r="K932">
        <v>0.16</v>
      </c>
      <c r="L932" t="s">
        <v>27</v>
      </c>
      <c r="M932" t="s">
        <v>22</v>
      </c>
      <c r="N932" t="s">
        <v>45</v>
      </c>
      <c r="O932" t="str">
        <f t="shared" si="70"/>
        <v>Nov</v>
      </c>
      <c r="P932" t="str">
        <f t="shared" si="71"/>
        <v>Tuesday</v>
      </c>
      <c r="Q932">
        <f t="shared" si="72"/>
        <v>20165.241600000001</v>
      </c>
      <c r="R932">
        <f t="shared" si="73"/>
        <v>554.39999999999918</v>
      </c>
      <c r="S932">
        <f t="shared" si="74"/>
        <v>465.69599999999929</v>
      </c>
    </row>
    <row r="933" spans="1:19" x14ac:dyDescent="0.3">
      <c r="A933">
        <v>1005</v>
      </c>
      <c r="B933" s="1">
        <v>45010</v>
      </c>
      <c r="C933" t="s">
        <v>14</v>
      </c>
      <c r="D933" t="s">
        <v>21</v>
      </c>
      <c r="E933">
        <v>7442.25</v>
      </c>
      <c r="F933">
        <v>14</v>
      </c>
      <c r="G933" t="s">
        <v>29</v>
      </c>
      <c r="H933">
        <v>1861.2</v>
      </c>
      <c r="I933">
        <v>2075.35</v>
      </c>
      <c r="J933" t="s">
        <v>17</v>
      </c>
      <c r="K933">
        <v>0.1</v>
      </c>
      <c r="L933" t="s">
        <v>31</v>
      </c>
      <c r="M933" t="s">
        <v>22</v>
      </c>
      <c r="N933" t="s">
        <v>23</v>
      </c>
      <c r="O933" t="str">
        <f t="shared" si="70"/>
        <v>Mar</v>
      </c>
      <c r="P933" t="str">
        <f t="shared" si="71"/>
        <v>Saturday</v>
      </c>
      <c r="Q933">
        <f t="shared" si="72"/>
        <v>23451.119999999999</v>
      </c>
      <c r="R933">
        <f t="shared" si="73"/>
        <v>2998.0999999999981</v>
      </c>
      <c r="S933">
        <f t="shared" si="74"/>
        <v>2698.2899999999981</v>
      </c>
    </row>
    <row r="934" spans="1:19" x14ac:dyDescent="0.3">
      <c r="A934">
        <v>1012</v>
      </c>
      <c r="B934" s="1">
        <v>45244</v>
      </c>
      <c r="C934" t="s">
        <v>24</v>
      </c>
      <c r="D934" t="s">
        <v>15</v>
      </c>
      <c r="E934">
        <v>4976.43</v>
      </c>
      <c r="F934">
        <v>14</v>
      </c>
      <c r="G934" t="s">
        <v>35</v>
      </c>
      <c r="H934">
        <v>1185.5</v>
      </c>
      <c r="I934">
        <v>1271.45</v>
      </c>
      <c r="J934" t="s">
        <v>17</v>
      </c>
      <c r="K934">
        <v>0.03</v>
      </c>
      <c r="L934" t="s">
        <v>27</v>
      </c>
      <c r="M934" t="s">
        <v>22</v>
      </c>
      <c r="N934" t="s">
        <v>45</v>
      </c>
      <c r="O934" t="str">
        <f t="shared" si="70"/>
        <v>Nov</v>
      </c>
      <c r="P934" t="str">
        <f t="shared" si="71"/>
        <v>Tuesday</v>
      </c>
      <c r="Q934">
        <f t="shared" si="72"/>
        <v>16099.09</v>
      </c>
      <c r="R934">
        <f t="shared" si="73"/>
        <v>1203.3000000000006</v>
      </c>
      <c r="S934">
        <f t="shared" si="74"/>
        <v>1167.2010000000005</v>
      </c>
    </row>
    <row r="935" spans="1:19"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c r="O935" t="str">
        <f t="shared" si="70"/>
        <v>Apr</v>
      </c>
      <c r="P935" t="str">
        <f t="shared" si="71"/>
        <v>Friday</v>
      </c>
      <c r="Q935">
        <f t="shared" si="72"/>
        <v>34426.769999999997</v>
      </c>
      <c r="R935">
        <f t="shared" si="73"/>
        <v>11745.299999999655</v>
      </c>
      <c r="S935">
        <f t="shared" si="74"/>
        <v>10218.4109999997</v>
      </c>
    </row>
    <row r="936" spans="1:19" x14ac:dyDescent="0.3">
      <c r="A936">
        <v>1046</v>
      </c>
      <c r="B936" s="1">
        <v>45177</v>
      </c>
      <c r="C936" t="s">
        <v>42</v>
      </c>
      <c r="D936" t="s">
        <v>15</v>
      </c>
      <c r="E936">
        <v>8398.48</v>
      </c>
      <c r="F936">
        <v>30</v>
      </c>
      <c r="G936" t="s">
        <v>16</v>
      </c>
      <c r="H936">
        <v>320.73</v>
      </c>
      <c r="I936">
        <v>678.04</v>
      </c>
      <c r="J936" t="s">
        <v>17</v>
      </c>
      <c r="K936">
        <v>0.08</v>
      </c>
      <c r="L936" t="s">
        <v>18</v>
      </c>
      <c r="M936" t="s">
        <v>22</v>
      </c>
      <c r="N936" t="s">
        <v>49</v>
      </c>
      <c r="O936" t="str">
        <f t="shared" si="70"/>
        <v>Sep</v>
      </c>
      <c r="P936" t="str">
        <f t="shared" si="71"/>
        <v>Friday</v>
      </c>
      <c r="Q936">
        <f t="shared" si="72"/>
        <v>8852.148000000001</v>
      </c>
      <c r="R936">
        <f t="shared" si="73"/>
        <v>10719.3</v>
      </c>
      <c r="S936">
        <f t="shared" si="74"/>
        <v>9861.7559999999994</v>
      </c>
    </row>
    <row r="937" spans="1:19" x14ac:dyDescent="0.3">
      <c r="A937">
        <v>1034</v>
      </c>
      <c r="B937" s="1">
        <v>44933</v>
      </c>
      <c r="C937" t="s">
        <v>24</v>
      </c>
      <c r="D937" t="s">
        <v>21</v>
      </c>
      <c r="E937">
        <v>3677.9</v>
      </c>
      <c r="F937">
        <v>28</v>
      </c>
      <c r="G937" t="s">
        <v>16</v>
      </c>
      <c r="H937">
        <v>137.47</v>
      </c>
      <c r="I937">
        <v>234.63</v>
      </c>
      <c r="J937" t="s">
        <v>30</v>
      </c>
      <c r="K937">
        <v>0.27</v>
      </c>
      <c r="L937" t="s">
        <v>27</v>
      </c>
      <c r="M937" t="s">
        <v>22</v>
      </c>
      <c r="N937" t="s">
        <v>47</v>
      </c>
      <c r="O937" t="str">
        <f t="shared" si="70"/>
        <v>Jan</v>
      </c>
      <c r="P937" t="str">
        <f t="shared" si="71"/>
        <v>Saturday</v>
      </c>
      <c r="Q937">
        <f t="shared" si="72"/>
        <v>2809.8867999999998</v>
      </c>
      <c r="R937">
        <f t="shared" si="73"/>
        <v>2720.48</v>
      </c>
      <c r="S937">
        <f t="shared" si="74"/>
        <v>1985.9503999999999</v>
      </c>
    </row>
    <row r="938" spans="1:19"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c r="O938" t="str">
        <f t="shared" si="70"/>
        <v>Mar</v>
      </c>
      <c r="P938" t="str">
        <f t="shared" si="71"/>
        <v>Saturday</v>
      </c>
      <c r="Q938">
        <f t="shared" si="72"/>
        <v>9212.9630000000016</v>
      </c>
      <c r="R938">
        <f t="shared" si="73"/>
        <v>7571.46</v>
      </c>
      <c r="S938">
        <f t="shared" si="74"/>
        <v>7344.3162000000002</v>
      </c>
    </row>
    <row r="939" spans="1:19" x14ac:dyDescent="0.3">
      <c r="A939">
        <v>1078</v>
      </c>
      <c r="B939" s="1">
        <v>45134</v>
      </c>
      <c r="C939" t="s">
        <v>38</v>
      </c>
      <c r="D939" t="s">
        <v>15</v>
      </c>
      <c r="E939">
        <v>4127.37</v>
      </c>
      <c r="F939">
        <v>3</v>
      </c>
      <c r="G939" t="s">
        <v>29</v>
      </c>
      <c r="H939">
        <v>902.38</v>
      </c>
      <c r="I939">
        <v>1128.9100000000001</v>
      </c>
      <c r="J939" t="s">
        <v>30</v>
      </c>
      <c r="K939">
        <v>0.01</v>
      </c>
      <c r="L939" t="s">
        <v>27</v>
      </c>
      <c r="M939" t="s">
        <v>22</v>
      </c>
      <c r="N939" t="s">
        <v>40</v>
      </c>
      <c r="O939" t="str">
        <f t="shared" si="70"/>
        <v>Jul</v>
      </c>
      <c r="P939" t="str">
        <f t="shared" si="71"/>
        <v>Thursday</v>
      </c>
      <c r="Q939">
        <f t="shared" si="72"/>
        <v>2680.0686000000001</v>
      </c>
      <c r="R939">
        <f t="shared" si="73"/>
        <v>679.59000000000026</v>
      </c>
      <c r="S939">
        <f t="shared" si="74"/>
        <v>672.7941000000003</v>
      </c>
    </row>
    <row r="940" spans="1:19" x14ac:dyDescent="0.3">
      <c r="A940">
        <v>1090</v>
      </c>
      <c r="B940" s="1">
        <v>45240</v>
      </c>
      <c r="C940" t="s">
        <v>42</v>
      </c>
      <c r="D940" t="s">
        <v>15</v>
      </c>
      <c r="E940">
        <v>3349.51</v>
      </c>
      <c r="F940">
        <v>16</v>
      </c>
      <c r="G940" t="s">
        <v>29</v>
      </c>
      <c r="H940">
        <v>2183.37</v>
      </c>
      <c r="I940">
        <v>2263.3599999999901</v>
      </c>
      <c r="J940" t="s">
        <v>17</v>
      </c>
      <c r="K940">
        <v>0</v>
      </c>
      <c r="L940" t="s">
        <v>27</v>
      </c>
      <c r="M940" t="s">
        <v>22</v>
      </c>
      <c r="N940" t="s">
        <v>49</v>
      </c>
      <c r="O940" t="str">
        <f t="shared" si="70"/>
        <v>Nov</v>
      </c>
      <c r="P940" t="str">
        <f t="shared" si="71"/>
        <v>Friday</v>
      </c>
      <c r="Q940">
        <f t="shared" si="72"/>
        <v>34933.919999999998</v>
      </c>
      <c r="R940">
        <f t="shared" si="73"/>
        <v>1279.8399999998437</v>
      </c>
      <c r="S940">
        <f t="shared" si="74"/>
        <v>1279.8399999998437</v>
      </c>
    </row>
    <row r="941" spans="1:19" x14ac:dyDescent="0.3">
      <c r="A941">
        <v>1045</v>
      </c>
      <c r="B941" s="1">
        <v>44948</v>
      </c>
      <c r="C941" t="s">
        <v>14</v>
      </c>
      <c r="D941" t="s">
        <v>34</v>
      </c>
      <c r="E941">
        <v>4594.5</v>
      </c>
      <c r="F941">
        <v>46</v>
      </c>
      <c r="G941" t="s">
        <v>26</v>
      </c>
      <c r="H941">
        <v>2577.08</v>
      </c>
      <c r="I941">
        <v>2961.56</v>
      </c>
      <c r="J941" t="s">
        <v>17</v>
      </c>
      <c r="K941">
        <v>0.1</v>
      </c>
      <c r="L941" t="s">
        <v>18</v>
      </c>
      <c r="M941" t="s">
        <v>19</v>
      </c>
      <c r="N941" t="s">
        <v>46</v>
      </c>
      <c r="O941" t="str">
        <f t="shared" si="70"/>
        <v>Jan</v>
      </c>
      <c r="P941" t="str">
        <f t="shared" si="71"/>
        <v>Sunday</v>
      </c>
      <c r="Q941">
        <f t="shared" si="72"/>
        <v>106691.11199999999</v>
      </c>
      <c r="R941">
        <f t="shared" si="73"/>
        <v>17686.080000000002</v>
      </c>
      <c r="S941">
        <f t="shared" si="74"/>
        <v>15917.472000000002</v>
      </c>
    </row>
    <row r="942" spans="1:19" x14ac:dyDescent="0.3">
      <c r="A942">
        <v>1027</v>
      </c>
      <c r="B942" s="1">
        <v>44929</v>
      </c>
      <c r="C942" t="s">
        <v>14</v>
      </c>
      <c r="D942" t="s">
        <v>34</v>
      </c>
      <c r="E942">
        <v>7648.22</v>
      </c>
      <c r="F942">
        <v>30</v>
      </c>
      <c r="G942" t="s">
        <v>16</v>
      </c>
      <c r="H942">
        <v>745.93</v>
      </c>
      <c r="I942">
        <v>1143.02</v>
      </c>
      <c r="J942" t="s">
        <v>17</v>
      </c>
      <c r="K942">
        <v>0.2</v>
      </c>
      <c r="L942" t="s">
        <v>31</v>
      </c>
      <c r="M942" t="s">
        <v>19</v>
      </c>
      <c r="N942" t="s">
        <v>46</v>
      </c>
      <c r="O942" t="str">
        <f t="shared" si="70"/>
        <v>Jan</v>
      </c>
      <c r="P942" t="str">
        <f t="shared" si="71"/>
        <v>Tuesday</v>
      </c>
      <c r="Q942">
        <f t="shared" si="72"/>
        <v>17902.32</v>
      </c>
      <c r="R942">
        <f t="shared" si="73"/>
        <v>11912.7</v>
      </c>
      <c r="S942">
        <f t="shared" si="74"/>
        <v>9530.1600000000017</v>
      </c>
    </row>
    <row r="943" spans="1:19"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c r="O943" t="str">
        <f t="shared" si="70"/>
        <v>May</v>
      </c>
      <c r="P943" t="str">
        <f t="shared" si="71"/>
        <v>Sunday</v>
      </c>
      <c r="Q943">
        <f t="shared" si="72"/>
        <v>48693.621599999999</v>
      </c>
      <c r="R943">
        <f t="shared" si="73"/>
        <v>9374.25</v>
      </c>
      <c r="S943">
        <f t="shared" si="74"/>
        <v>7311.915</v>
      </c>
    </row>
    <row r="944" spans="1:19"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c r="O944" t="str">
        <f t="shared" si="70"/>
        <v>Oct</v>
      </c>
      <c r="P944" t="str">
        <f t="shared" si="71"/>
        <v>Tuesday</v>
      </c>
      <c r="Q944">
        <f t="shared" si="72"/>
        <v>67402.241999999998</v>
      </c>
      <c r="R944">
        <f t="shared" si="73"/>
        <v>19269.000000000004</v>
      </c>
      <c r="S944">
        <f t="shared" si="74"/>
        <v>16571.340000000004</v>
      </c>
    </row>
    <row r="945" spans="1:19"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c r="O945" t="str">
        <f t="shared" si="70"/>
        <v>Jul</v>
      </c>
      <c r="P945" t="str">
        <f t="shared" si="71"/>
        <v>Friday</v>
      </c>
      <c r="Q945">
        <f t="shared" si="72"/>
        <v>11351.7075</v>
      </c>
      <c r="R945">
        <f t="shared" si="73"/>
        <v>5569.65</v>
      </c>
      <c r="S945">
        <f t="shared" si="74"/>
        <v>4400.0235000000002</v>
      </c>
    </row>
    <row r="946" spans="1:19" x14ac:dyDescent="0.3">
      <c r="A946">
        <v>1086</v>
      </c>
      <c r="B946" s="1">
        <v>45288</v>
      </c>
      <c r="C946" t="s">
        <v>14</v>
      </c>
      <c r="D946" t="s">
        <v>21</v>
      </c>
      <c r="E946">
        <v>1837.37</v>
      </c>
      <c r="F946">
        <v>46</v>
      </c>
      <c r="G946" t="s">
        <v>16</v>
      </c>
      <c r="H946">
        <v>83.86</v>
      </c>
      <c r="I946">
        <v>526.14</v>
      </c>
      <c r="J946" t="s">
        <v>17</v>
      </c>
      <c r="K946">
        <v>0.11</v>
      </c>
      <c r="L946" t="s">
        <v>31</v>
      </c>
      <c r="M946" t="s">
        <v>19</v>
      </c>
      <c r="N946" t="s">
        <v>23</v>
      </c>
      <c r="O946" t="str">
        <f t="shared" si="70"/>
        <v>Dec</v>
      </c>
      <c r="P946" t="str">
        <f t="shared" si="71"/>
        <v>Thursday</v>
      </c>
      <c r="Q946">
        <f t="shared" si="72"/>
        <v>3433.2284</v>
      </c>
      <c r="R946">
        <f t="shared" si="73"/>
        <v>20344.879999999997</v>
      </c>
      <c r="S946">
        <f t="shared" si="74"/>
        <v>18106.943199999998</v>
      </c>
    </row>
    <row r="947" spans="1:19" x14ac:dyDescent="0.3">
      <c r="A947">
        <v>1056</v>
      </c>
      <c r="B947" s="1">
        <v>44940</v>
      </c>
      <c r="C947" t="s">
        <v>33</v>
      </c>
      <c r="D947" t="s">
        <v>21</v>
      </c>
      <c r="E947">
        <v>5720.5</v>
      </c>
      <c r="F947">
        <v>25</v>
      </c>
      <c r="G947" t="s">
        <v>26</v>
      </c>
      <c r="H947">
        <v>2361.7399999999998</v>
      </c>
      <c r="I947">
        <v>2584.35</v>
      </c>
      <c r="J947" t="s">
        <v>17</v>
      </c>
      <c r="K947">
        <v>0.2</v>
      </c>
      <c r="L947" t="s">
        <v>18</v>
      </c>
      <c r="M947" t="s">
        <v>19</v>
      </c>
      <c r="N947" t="s">
        <v>37</v>
      </c>
      <c r="O947" t="str">
        <f t="shared" si="70"/>
        <v>Jan</v>
      </c>
      <c r="P947" t="str">
        <f t="shared" si="71"/>
        <v>Saturday</v>
      </c>
      <c r="Q947">
        <f t="shared" si="72"/>
        <v>47234.799999999996</v>
      </c>
      <c r="R947">
        <f t="shared" si="73"/>
        <v>5565.2500000000036</v>
      </c>
      <c r="S947">
        <f t="shared" si="74"/>
        <v>4452.2000000000035</v>
      </c>
    </row>
    <row r="948" spans="1:19" x14ac:dyDescent="0.3">
      <c r="A948">
        <v>1094</v>
      </c>
      <c r="B948" s="1">
        <v>44938</v>
      </c>
      <c r="C948" t="s">
        <v>38</v>
      </c>
      <c r="D948" t="s">
        <v>21</v>
      </c>
      <c r="E948">
        <v>5835.21</v>
      </c>
      <c r="F948">
        <v>38</v>
      </c>
      <c r="G948" t="s">
        <v>26</v>
      </c>
      <c r="H948">
        <v>3443.98</v>
      </c>
      <c r="I948">
        <v>3820.3</v>
      </c>
      <c r="J948" t="s">
        <v>17</v>
      </c>
      <c r="K948">
        <v>0.01</v>
      </c>
      <c r="L948" t="s">
        <v>31</v>
      </c>
      <c r="M948" t="s">
        <v>22</v>
      </c>
      <c r="N948" t="s">
        <v>41</v>
      </c>
      <c r="O948" t="str">
        <f t="shared" si="70"/>
        <v>Jan</v>
      </c>
      <c r="P948" t="str">
        <f t="shared" si="71"/>
        <v>Thursday</v>
      </c>
      <c r="Q948">
        <f t="shared" si="72"/>
        <v>129562.5276</v>
      </c>
      <c r="R948">
        <f t="shared" si="73"/>
        <v>14300.160000000007</v>
      </c>
      <c r="S948">
        <f t="shared" si="74"/>
        <v>14157.158400000008</v>
      </c>
    </row>
    <row r="949" spans="1:19" x14ac:dyDescent="0.3">
      <c r="A949">
        <v>1063</v>
      </c>
      <c r="B949" s="1">
        <v>45013</v>
      </c>
      <c r="C949" t="s">
        <v>33</v>
      </c>
      <c r="D949" t="s">
        <v>25</v>
      </c>
      <c r="E949">
        <v>4947.28</v>
      </c>
      <c r="F949">
        <v>42</v>
      </c>
      <c r="G949" t="s">
        <v>26</v>
      </c>
      <c r="H949">
        <v>1170.07</v>
      </c>
      <c r="I949">
        <v>1669.94999999999</v>
      </c>
      <c r="J949" t="s">
        <v>17</v>
      </c>
      <c r="K949">
        <v>0.12</v>
      </c>
      <c r="L949" t="s">
        <v>27</v>
      </c>
      <c r="M949" t="s">
        <v>22</v>
      </c>
      <c r="N949" t="s">
        <v>44</v>
      </c>
      <c r="O949" t="str">
        <f t="shared" si="70"/>
        <v>Mar</v>
      </c>
      <c r="P949" t="str">
        <f t="shared" si="71"/>
        <v>Tuesday</v>
      </c>
      <c r="Q949">
        <f t="shared" si="72"/>
        <v>43245.787199999999</v>
      </c>
      <c r="R949">
        <f t="shared" si="73"/>
        <v>20994.959999999584</v>
      </c>
      <c r="S949">
        <f t="shared" si="74"/>
        <v>18475.564799999633</v>
      </c>
    </row>
    <row r="950" spans="1:19"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c r="O950" t="str">
        <f t="shared" si="70"/>
        <v>Jan</v>
      </c>
      <c r="P950" t="str">
        <f t="shared" si="71"/>
        <v>Thursday</v>
      </c>
      <c r="Q950">
        <f t="shared" si="72"/>
        <v>25091.156800000001</v>
      </c>
      <c r="R950">
        <f t="shared" si="73"/>
        <v>17165.34</v>
      </c>
      <c r="S950">
        <f t="shared" si="74"/>
        <v>13045.6584</v>
      </c>
    </row>
    <row r="951" spans="1:19"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c r="O951" t="str">
        <f t="shared" si="70"/>
        <v>Jan</v>
      </c>
      <c r="P951" t="str">
        <f t="shared" si="71"/>
        <v>Wednesday</v>
      </c>
      <c r="Q951">
        <f t="shared" si="72"/>
        <v>128252.0368</v>
      </c>
      <c r="R951">
        <f t="shared" si="73"/>
        <v>2506.0999999996475</v>
      </c>
      <c r="S951">
        <f t="shared" si="74"/>
        <v>1904.6359999997321</v>
      </c>
    </row>
    <row r="952" spans="1:19" x14ac:dyDescent="0.3">
      <c r="A952">
        <v>1081</v>
      </c>
      <c r="B952" s="1">
        <v>45227</v>
      </c>
      <c r="C952" t="s">
        <v>33</v>
      </c>
      <c r="D952" t="s">
        <v>15</v>
      </c>
      <c r="E952">
        <v>5571.36</v>
      </c>
      <c r="F952">
        <v>23</v>
      </c>
      <c r="G952" t="s">
        <v>26</v>
      </c>
      <c r="H952">
        <v>1411.37</v>
      </c>
      <c r="I952">
        <v>1675.35</v>
      </c>
      <c r="J952" t="s">
        <v>30</v>
      </c>
      <c r="K952">
        <v>0.21</v>
      </c>
      <c r="L952" t="s">
        <v>18</v>
      </c>
      <c r="M952" t="s">
        <v>22</v>
      </c>
      <c r="N952" t="s">
        <v>53</v>
      </c>
      <c r="O952" t="str">
        <f t="shared" si="70"/>
        <v>Oct</v>
      </c>
      <c r="P952" t="str">
        <f t="shared" si="71"/>
        <v>Saturday</v>
      </c>
      <c r="Q952">
        <f t="shared" si="72"/>
        <v>25644.5929</v>
      </c>
      <c r="R952">
        <f t="shared" si="73"/>
        <v>6071.5400000000009</v>
      </c>
      <c r="S952">
        <f t="shared" si="74"/>
        <v>4796.5166000000008</v>
      </c>
    </row>
    <row r="953" spans="1:19"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c r="O953" t="str">
        <f t="shared" si="70"/>
        <v>Aug</v>
      </c>
      <c r="P953" t="str">
        <f t="shared" si="71"/>
        <v>Thursday</v>
      </c>
      <c r="Q953">
        <f t="shared" si="72"/>
        <v>27186.68</v>
      </c>
      <c r="R953">
        <f t="shared" si="73"/>
        <v>7444.9999999999991</v>
      </c>
      <c r="S953">
        <f t="shared" si="74"/>
        <v>6998.2999999999984</v>
      </c>
    </row>
    <row r="954" spans="1:19"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c r="O954" t="str">
        <f t="shared" si="70"/>
        <v>May</v>
      </c>
      <c r="P954" t="str">
        <f t="shared" si="71"/>
        <v>Tuesday</v>
      </c>
      <c r="Q954">
        <f t="shared" si="72"/>
        <v>167670.12779999999</v>
      </c>
      <c r="R954">
        <f t="shared" si="73"/>
        <v>4005.1199999999862</v>
      </c>
      <c r="S954">
        <f t="shared" si="74"/>
        <v>3724.7615999999871</v>
      </c>
    </row>
    <row r="955" spans="1:19" x14ac:dyDescent="0.3">
      <c r="A955">
        <v>1001</v>
      </c>
      <c r="B955" s="1">
        <v>45073</v>
      </c>
      <c r="C955" t="s">
        <v>42</v>
      </c>
      <c r="D955" t="s">
        <v>25</v>
      </c>
      <c r="E955">
        <v>1498.11</v>
      </c>
      <c r="F955">
        <v>7</v>
      </c>
      <c r="G955" t="s">
        <v>35</v>
      </c>
      <c r="H955">
        <v>4094.68</v>
      </c>
      <c r="I955">
        <v>4576.5</v>
      </c>
      <c r="J955" t="s">
        <v>30</v>
      </c>
      <c r="K955">
        <v>0.3</v>
      </c>
      <c r="L955" t="s">
        <v>18</v>
      </c>
      <c r="M955" t="s">
        <v>22</v>
      </c>
      <c r="N955" t="s">
        <v>43</v>
      </c>
      <c r="O955" t="str">
        <f t="shared" si="70"/>
        <v>May</v>
      </c>
      <c r="P955" t="str">
        <f t="shared" si="71"/>
        <v>Saturday</v>
      </c>
      <c r="Q955">
        <f t="shared" si="72"/>
        <v>20063.931999999997</v>
      </c>
      <c r="R955">
        <f t="shared" si="73"/>
        <v>3372.7400000000011</v>
      </c>
      <c r="S955">
        <f t="shared" si="74"/>
        <v>2360.9180000000006</v>
      </c>
    </row>
    <row r="956" spans="1:19"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c r="O956" t="str">
        <f t="shared" si="70"/>
        <v>Feb</v>
      </c>
      <c r="P956" t="str">
        <f t="shared" si="71"/>
        <v>Friday</v>
      </c>
      <c r="Q956">
        <f t="shared" si="72"/>
        <v>48427.288800000002</v>
      </c>
      <c r="R956">
        <f t="shared" si="73"/>
        <v>2112.6599999999944</v>
      </c>
      <c r="S956">
        <f t="shared" si="74"/>
        <v>2049.2801999999947</v>
      </c>
    </row>
    <row r="957" spans="1:19" x14ac:dyDescent="0.3">
      <c r="A957">
        <v>1099</v>
      </c>
      <c r="B957" s="1">
        <v>45164</v>
      </c>
      <c r="C957" t="s">
        <v>24</v>
      </c>
      <c r="D957" t="s">
        <v>21</v>
      </c>
      <c r="E957">
        <v>1934.18</v>
      </c>
      <c r="F957">
        <v>17</v>
      </c>
      <c r="G957" t="s">
        <v>26</v>
      </c>
      <c r="H957">
        <v>2471.73</v>
      </c>
      <c r="I957">
        <v>2568.73</v>
      </c>
      <c r="J957" t="s">
        <v>30</v>
      </c>
      <c r="K957">
        <v>0.05</v>
      </c>
      <c r="L957" t="s">
        <v>18</v>
      </c>
      <c r="M957" t="s">
        <v>22</v>
      </c>
      <c r="N957" t="s">
        <v>47</v>
      </c>
      <c r="O957" t="str">
        <f t="shared" si="70"/>
        <v>Aug</v>
      </c>
      <c r="P957" t="str">
        <f t="shared" si="71"/>
        <v>Saturday</v>
      </c>
      <c r="Q957">
        <f t="shared" si="72"/>
        <v>39918.4395</v>
      </c>
      <c r="R957">
        <f t="shared" si="73"/>
        <v>1649</v>
      </c>
      <c r="S957">
        <f t="shared" si="74"/>
        <v>1566.55</v>
      </c>
    </row>
    <row r="958" spans="1:19"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c r="O958" t="str">
        <f t="shared" si="70"/>
        <v>Dec</v>
      </c>
      <c r="P958" t="str">
        <f t="shared" si="71"/>
        <v>Friday</v>
      </c>
      <c r="Q958">
        <f t="shared" si="72"/>
        <v>19489.4208</v>
      </c>
      <c r="R958">
        <f t="shared" si="73"/>
        <v>8251.7400000000016</v>
      </c>
      <c r="S958">
        <f t="shared" si="74"/>
        <v>7921.6704000000009</v>
      </c>
    </row>
    <row r="959" spans="1:19" x14ac:dyDescent="0.3">
      <c r="A959">
        <v>1079</v>
      </c>
      <c r="B959" s="1">
        <v>45099</v>
      </c>
      <c r="C959" t="s">
        <v>38</v>
      </c>
      <c r="D959" t="s">
        <v>34</v>
      </c>
      <c r="E959">
        <v>2265.23</v>
      </c>
      <c r="F959">
        <v>49</v>
      </c>
      <c r="G959" t="s">
        <v>29</v>
      </c>
      <c r="H959">
        <v>437.59</v>
      </c>
      <c r="I959">
        <v>675.54</v>
      </c>
      <c r="J959" t="s">
        <v>17</v>
      </c>
      <c r="K959">
        <v>0.1</v>
      </c>
      <c r="L959" t="s">
        <v>18</v>
      </c>
      <c r="M959" t="s">
        <v>19</v>
      </c>
      <c r="N959" t="s">
        <v>48</v>
      </c>
      <c r="O959" t="str">
        <f t="shared" si="70"/>
        <v>Jun</v>
      </c>
      <c r="P959" t="str">
        <f t="shared" si="71"/>
        <v>Thursday</v>
      </c>
      <c r="Q959">
        <f t="shared" si="72"/>
        <v>19297.719000000001</v>
      </c>
      <c r="R959">
        <f t="shared" si="73"/>
        <v>11659.55</v>
      </c>
      <c r="S959">
        <f t="shared" si="74"/>
        <v>10493.594999999999</v>
      </c>
    </row>
    <row r="960" spans="1:19" x14ac:dyDescent="0.3">
      <c r="A960">
        <v>1047</v>
      </c>
      <c r="B960" s="1">
        <v>45147</v>
      </c>
      <c r="C960" t="s">
        <v>24</v>
      </c>
      <c r="D960" t="s">
        <v>15</v>
      </c>
      <c r="E960">
        <v>1910.09</v>
      </c>
      <c r="F960">
        <v>41</v>
      </c>
      <c r="G960" t="s">
        <v>29</v>
      </c>
      <c r="H960">
        <v>2888.49</v>
      </c>
      <c r="I960">
        <v>2929.45</v>
      </c>
      <c r="J960" t="s">
        <v>30</v>
      </c>
      <c r="K960">
        <v>0.06</v>
      </c>
      <c r="L960" t="s">
        <v>18</v>
      </c>
      <c r="M960" t="s">
        <v>22</v>
      </c>
      <c r="N960" t="s">
        <v>45</v>
      </c>
      <c r="O960" t="str">
        <f t="shared" si="70"/>
        <v>Aug</v>
      </c>
      <c r="P960" t="str">
        <f t="shared" si="71"/>
        <v>Wednesday</v>
      </c>
      <c r="Q960">
        <f t="shared" si="72"/>
        <v>111322.40459999999</v>
      </c>
      <c r="R960">
        <f t="shared" si="73"/>
        <v>1679.3600000000015</v>
      </c>
      <c r="S960">
        <f t="shared" si="74"/>
        <v>1578.5984000000012</v>
      </c>
    </row>
    <row r="961" spans="1:19"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c r="O961" t="str">
        <f t="shared" si="70"/>
        <v>Apr</v>
      </c>
      <c r="P961" t="str">
        <f t="shared" si="71"/>
        <v>Saturday</v>
      </c>
      <c r="Q961">
        <f t="shared" si="72"/>
        <v>4562.8849999999993</v>
      </c>
      <c r="R961">
        <f t="shared" si="73"/>
        <v>3031.1000000000004</v>
      </c>
      <c r="S961">
        <f t="shared" si="74"/>
        <v>2576.4350000000004</v>
      </c>
    </row>
    <row r="962" spans="1:19"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c r="O962" t="str">
        <f t="shared" si="70"/>
        <v>Nov</v>
      </c>
      <c r="P962" t="str">
        <f t="shared" si="71"/>
        <v>Sunday</v>
      </c>
      <c r="Q962">
        <f t="shared" si="72"/>
        <v>19555.626</v>
      </c>
      <c r="R962">
        <f t="shared" si="73"/>
        <v>3048.8999999999032</v>
      </c>
      <c r="S962">
        <f t="shared" si="74"/>
        <v>2622.0539999999169</v>
      </c>
    </row>
    <row r="963" spans="1:19"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c r="O963" t="str">
        <f t="shared" ref="O963:O1001" si="75">TEXT(B963,"mmm")</f>
        <v>Jul</v>
      </c>
      <c r="P963" t="str">
        <f t="shared" ref="P963:P1001" si="76">TEXT(B963,"dddd")</f>
        <v>Sunday</v>
      </c>
      <c r="Q963">
        <f t="shared" ref="Q963:Q1001" si="77">(F963*H963)*(1-K963)</f>
        <v>24044.900600000001</v>
      </c>
      <c r="R963">
        <f t="shared" ref="R963:R1001" si="78">(I963-H963)*F963</f>
        <v>291.26999999999771</v>
      </c>
      <c r="S963">
        <f t="shared" ref="S963:S1001" si="79">((I963-H963)*F963)*(1-K963)</f>
        <v>212.62709999999831</v>
      </c>
    </row>
    <row r="964" spans="1:19" x14ac:dyDescent="0.3">
      <c r="A964">
        <v>1090</v>
      </c>
      <c r="B964" s="1">
        <v>45214</v>
      </c>
      <c r="C964" t="s">
        <v>33</v>
      </c>
      <c r="D964" t="s">
        <v>25</v>
      </c>
      <c r="E964">
        <v>9702.27</v>
      </c>
      <c r="F964">
        <v>48</v>
      </c>
      <c r="G964" t="s">
        <v>35</v>
      </c>
      <c r="H964">
        <v>4766.53</v>
      </c>
      <c r="I964">
        <v>5253.07</v>
      </c>
      <c r="J964" t="s">
        <v>17</v>
      </c>
      <c r="K964">
        <v>0.01</v>
      </c>
      <c r="L964" t="s">
        <v>27</v>
      </c>
      <c r="M964" t="s">
        <v>19</v>
      </c>
      <c r="N964" t="s">
        <v>44</v>
      </c>
      <c r="O964" t="str">
        <f t="shared" si="75"/>
        <v>Oct</v>
      </c>
      <c r="P964" t="str">
        <f t="shared" si="76"/>
        <v>Sunday</v>
      </c>
      <c r="Q964">
        <f t="shared" si="77"/>
        <v>226505.5056</v>
      </c>
      <c r="R964">
        <f t="shared" si="78"/>
        <v>23353.919999999998</v>
      </c>
      <c r="S964">
        <f t="shared" si="79"/>
        <v>23120.380799999999</v>
      </c>
    </row>
    <row r="965" spans="1:19" x14ac:dyDescent="0.3">
      <c r="A965">
        <v>1028</v>
      </c>
      <c r="B965" s="1">
        <v>45233</v>
      </c>
      <c r="C965" t="s">
        <v>42</v>
      </c>
      <c r="D965" t="s">
        <v>15</v>
      </c>
      <c r="E965">
        <v>5755.48</v>
      </c>
      <c r="F965">
        <v>38</v>
      </c>
      <c r="G965" t="s">
        <v>29</v>
      </c>
      <c r="H965">
        <v>1234.69</v>
      </c>
      <c r="I965">
        <v>1511.26</v>
      </c>
      <c r="J965" t="s">
        <v>30</v>
      </c>
      <c r="K965">
        <v>0.1</v>
      </c>
      <c r="L965" t="s">
        <v>27</v>
      </c>
      <c r="M965" t="s">
        <v>19</v>
      </c>
      <c r="N965" t="s">
        <v>49</v>
      </c>
      <c r="O965" t="str">
        <f t="shared" si="75"/>
        <v>Nov</v>
      </c>
      <c r="P965" t="str">
        <f t="shared" si="76"/>
        <v>Friday</v>
      </c>
      <c r="Q965">
        <f t="shared" si="77"/>
        <v>42226.398000000001</v>
      </c>
      <c r="R965">
        <f t="shared" si="78"/>
        <v>10509.659999999998</v>
      </c>
      <c r="S965">
        <f t="shared" si="79"/>
        <v>9458.6939999999977</v>
      </c>
    </row>
    <row r="966" spans="1:19" x14ac:dyDescent="0.3">
      <c r="A966">
        <v>1087</v>
      </c>
      <c r="B966" s="1">
        <v>45226</v>
      </c>
      <c r="C966" t="s">
        <v>38</v>
      </c>
      <c r="D966" t="s">
        <v>15</v>
      </c>
      <c r="E966">
        <v>1515.71</v>
      </c>
      <c r="F966">
        <v>27</v>
      </c>
      <c r="G966" t="s">
        <v>26</v>
      </c>
      <c r="H966">
        <v>3139.36</v>
      </c>
      <c r="I966">
        <v>3423.66</v>
      </c>
      <c r="J966" t="s">
        <v>30</v>
      </c>
      <c r="K966">
        <v>0.18</v>
      </c>
      <c r="L966" t="s">
        <v>31</v>
      </c>
      <c r="M966" t="s">
        <v>19</v>
      </c>
      <c r="N966" t="s">
        <v>40</v>
      </c>
      <c r="O966" t="str">
        <f t="shared" si="75"/>
        <v>Oct</v>
      </c>
      <c r="P966" t="str">
        <f t="shared" si="76"/>
        <v>Friday</v>
      </c>
      <c r="Q966">
        <f t="shared" si="77"/>
        <v>69505.430400000012</v>
      </c>
      <c r="R966">
        <f t="shared" si="78"/>
        <v>7676.0999999999931</v>
      </c>
      <c r="S966">
        <f t="shared" si="79"/>
        <v>6294.4019999999946</v>
      </c>
    </row>
    <row r="967" spans="1:19"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c r="O967" t="str">
        <f t="shared" si="75"/>
        <v>Mar</v>
      </c>
      <c r="P967" t="str">
        <f t="shared" si="76"/>
        <v>Thursday</v>
      </c>
      <c r="Q967">
        <f t="shared" si="77"/>
        <v>64854.160799999998</v>
      </c>
      <c r="R967">
        <f t="shared" si="78"/>
        <v>8740.3800000000047</v>
      </c>
      <c r="S967">
        <f t="shared" si="79"/>
        <v>7167.1116000000047</v>
      </c>
    </row>
    <row r="968" spans="1:19"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c r="O968" t="str">
        <f t="shared" si="75"/>
        <v>Jul</v>
      </c>
      <c r="P968" t="str">
        <f t="shared" si="76"/>
        <v>Sunday</v>
      </c>
      <c r="Q968">
        <f t="shared" si="77"/>
        <v>3770.7904000000003</v>
      </c>
      <c r="R968">
        <f t="shared" si="78"/>
        <v>309.25999999999931</v>
      </c>
      <c r="S968">
        <f t="shared" si="79"/>
        <v>265.96359999999942</v>
      </c>
    </row>
    <row r="969" spans="1:19" x14ac:dyDescent="0.3">
      <c r="A969">
        <v>1002</v>
      </c>
      <c r="B969" s="1">
        <v>45076</v>
      </c>
      <c r="C969" t="s">
        <v>38</v>
      </c>
      <c r="D969" t="s">
        <v>15</v>
      </c>
      <c r="E969">
        <v>3737.17</v>
      </c>
      <c r="F969">
        <v>44</v>
      </c>
      <c r="G969" t="s">
        <v>16</v>
      </c>
      <c r="H969">
        <v>1393.58</v>
      </c>
      <c r="I969">
        <v>1533.09</v>
      </c>
      <c r="J969" t="s">
        <v>17</v>
      </c>
      <c r="K969">
        <v>0.24</v>
      </c>
      <c r="L969" t="s">
        <v>31</v>
      </c>
      <c r="M969" t="s">
        <v>22</v>
      </c>
      <c r="N969" t="s">
        <v>40</v>
      </c>
      <c r="O969" t="str">
        <f t="shared" si="75"/>
        <v>May</v>
      </c>
      <c r="P969" t="str">
        <f t="shared" si="76"/>
        <v>Tuesday</v>
      </c>
      <c r="Q969">
        <f t="shared" si="77"/>
        <v>46601.315199999997</v>
      </c>
      <c r="R969">
        <f t="shared" si="78"/>
        <v>6138.44</v>
      </c>
      <c r="S969">
        <f t="shared" si="79"/>
        <v>4665.2143999999998</v>
      </c>
    </row>
    <row r="970" spans="1:19" x14ac:dyDescent="0.3">
      <c r="A970">
        <v>1026</v>
      </c>
      <c r="B970" s="1">
        <v>44963</v>
      </c>
      <c r="C970" t="s">
        <v>14</v>
      </c>
      <c r="D970" t="s">
        <v>21</v>
      </c>
      <c r="E970">
        <v>961.47</v>
      </c>
      <c r="F970">
        <v>34</v>
      </c>
      <c r="G970" t="s">
        <v>35</v>
      </c>
      <c r="H970">
        <v>68.33</v>
      </c>
      <c r="I970">
        <v>219.07999999999899</v>
      </c>
      <c r="J970" t="s">
        <v>30</v>
      </c>
      <c r="K970">
        <v>0.02</v>
      </c>
      <c r="L970" t="s">
        <v>31</v>
      </c>
      <c r="M970" t="s">
        <v>19</v>
      </c>
      <c r="N970" t="s">
        <v>23</v>
      </c>
      <c r="O970" t="str">
        <f t="shared" si="75"/>
        <v>Feb</v>
      </c>
      <c r="P970" t="str">
        <f t="shared" si="76"/>
        <v>Monday</v>
      </c>
      <c r="Q970">
        <f t="shared" si="77"/>
        <v>2276.7556</v>
      </c>
      <c r="R970">
        <f t="shared" si="78"/>
        <v>5125.4999999999654</v>
      </c>
      <c r="S970">
        <f t="shared" si="79"/>
        <v>5022.9899999999661</v>
      </c>
    </row>
    <row r="971" spans="1:19" x14ac:dyDescent="0.3">
      <c r="A971">
        <v>1014</v>
      </c>
      <c r="B971" s="1">
        <v>45278</v>
      </c>
      <c r="C971" t="s">
        <v>24</v>
      </c>
      <c r="D971" t="s">
        <v>34</v>
      </c>
      <c r="E971">
        <v>5612.17</v>
      </c>
      <c r="F971">
        <v>4</v>
      </c>
      <c r="G971" t="s">
        <v>16</v>
      </c>
      <c r="H971">
        <v>854.68</v>
      </c>
      <c r="I971">
        <v>1115.24</v>
      </c>
      <c r="J971" t="s">
        <v>30</v>
      </c>
      <c r="K971">
        <v>0.24</v>
      </c>
      <c r="L971" t="s">
        <v>31</v>
      </c>
      <c r="M971" t="s">
        <v>22</v>
      </c>
      <c r="N971" t="s">
        <v>50</v>
      </c>
      <c r="O971" t="str">
        <f t="shared" si="75"/>
        <v>Dec</v>
      </c>
      <c r="P971" t="str">
        <f t="shared" si="76"/>
        <v>Monday</v>
      </c>
      <c r="Q971">
        <f t="shared" si="77"/>
        <v>2598.2271999999998</v>
      </c>
      <c r="R971">
        <f t="shared" si="78"/>
        <v>1042.2400000000002</v>
      </c>
      <c r="S971">
        <f t="shared" si="79"/>
        <v>792.10240000000022</v>
      </c>
    </row>
    <row r="972" spans="1:19"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c r="O972" t="str">
        <f t="shared" si="75"/>
        <v>Nov</v>
      </c>
      <c r="P972" t="str">
        <f t="shared" si="76"/>
        <v>Wednesday</v>
      </c>
      <c r="Q972">
        <f t="shared" si="77"/>
        <v>25723.023000000001</v>
      </c>
      <c r="R972">
        <f t="shared" si="78"/>
        <v>6889.7599999999993</v>
      </c>
      <c r="S972">
        <f t="shared" si="79"/>
        <v>5856.2959999999994</v>
      </c>
    </row>
    <row r="973" spans="1:19" x14ac:dyDescent="0.3">
      <c r="A973">
        <v>1056</v>
      </c>
      <c r="B973" s="1">
        <v>45287</v>
      </c>
      <c r="C973" t="s">
        <v>14</v>
      </c>
      <c r="D973" t="s">
        <v>34</v>
      </c>
      <c r="E973">
        <v>7979.67</v>
      </c>
      <c r="F973">
        <v>4</v>
      </c>
      <c r="G973" t="s">
        <v>26</v>
      </c>
      <c r="H973">
        <v>1612.82</v>
      </c>
      <c r="I973">
        <v>1647.25</v>
      </c>
      <c r="J973" t="s">
        <v>17</v>
      </c>
      <c r="K973">
        <v>0.04</v>
      </c>
      <c r="L973" t="s">
        <v>31</v>
      </c>
      <c r="M973" t="s">
        <v>22</v>
      </c>
      <c r="N973" t="s">
        <v>46</v>
      </c>
      <c r="O973" t="str">
        <f t="shared" si="75"/>
        <v>Dec</v>
      </c>
      <c r="P973" t="str">
        <f t="shared" si="76"/>
        <v>Wednesday</v>
      </c>
      <c r="Q973">
        <f t="shared" si="77"/>
        <v>6193.2287999999999</v>
      </c>
      <c r="R973">
        <f t="shared" si="78"/>
        <v>137.72000000000025</v>
      </c>
      <c r="S973">
        <f t="shared" si="79"/>
        <v>132.21120000000025</v>
      </c>
    </row>
    <row r="974" spans="1:19" x14ac:dyDescent="0.3">
      <c r="A974">
        <v>1007</v>
      </c>
      <c r="B974" s="1">
        <v>44985</v>
      </c>
      <c r="C974" t="s">
        <v>33</v>
      </c>
      <c r="D974" t="s">
        <v>34</v>
      </c>
      <c r="E974">
        <v>1833.72</v>
      </c>
      <c r="F974">
        <v>43</v>
      </c>
      <c r="G974" t="s">
        <v>16</v>
      </c>
      <c r="H974">
        <v>3967.25</v>
      </c>
      <c r="I974">
        <v>4272.92</v>
      </c>
      <c r="J974" t="s">
        <v>30</v>
      </c>
      <c r="K974">
        <v>0.27</v>
      </c>
      <c r="L974" t="s">
        <v>31</v>
      </c>
      <c r="M974" t="s">
        <v>19</v>
      </c>
      <c r="N974" t="s">
        <v>36</v>
      </c>
      <c r="O974" t="str">
        <f t="shared" si="75"/>
        <v>Feb</v>
      </c>
      <c r="P974" t="str">
        <f t="shared" si="76"/>
        <v>Tuesday</v>
      </c>
      <c r="Q974">
        <f t="shared" si="77"/>
        <v>124531.97749999999</v>
      </c>
      <c r="R974">
        <f t="shared" si="78"/>
        <v>13143.810000000003</v>
      </c>
      <c r="S974">
        <f t="shared" si="79"/>
        <v>9594.9813000000013</v>
      </c>
    </row>
    <row r="975" spans="1:19" x14ac:dyDescent="0.3">
      <c r="A975">
        <v>1003</v>
      </c>
      <c r="B975" s="1">
        <v>45057</v>
      </c>
      <c r="C975" t="s">
        <v>33</v>
      </c>
      <c r="D975" t="s">
        <v>15</v>
      </c>
      <c r="E975">
        <v>6760.37</v>
      </c>
      <c r="F975">
        <v>26</v>
      </c>
      <c r="G975" t="s">
        <v>35</v>
      </c>
      <c r="H975">
        <v>3418.78</v>
      </c>
      <c r="I975">
        <v>3824.1</v>
      </c>
      <c r="J975" t="s">
        <v>30</v>
      </c>
      <c r="K975">
        <v>0.19</v>
      </c>
      <c r="L975" t="s">
        <v>31</v>
      </c>
      <c r="M975" t="s">
        <v>19</v>
      </c>
      <c r="N975" t="s">
        <v>53</v>
      </c>
      <c r="O975" t="str">
        <f t="shared" si="75"/>
        <v>May</v>
      </c>
      <c r="P975" t="str">
        <f t="shared" si="76"/>
        <v>Thursday</v>
      </c>
      <c r="Q975">
        <f t="shared" si="77"/>
        <v>71999.506800000003</v>
      </c>
      <c r="R975">
        <f t="shared" si="78"/>
        <v>10538.319999999992</v>
      </c>
      <c r="S975">
        <f t="shared" si="79"/>
        <v>8536.0391999999938</v>
      </c>
    </row>
    <row r="976" spans="1:19" x14ac:dyDescent="0.3">
      <c r="A976">
        <v>1023</v>
      </c>
      <c r="B976" s="1">
        <v>45128</v>
      </c>
      <c r="C976" t="s">
        <v>38</v>
      </c>
      <c r="D976" t="s">
        <v>15</v>
      </c>
      <c r="E976">
        <v>2282.9899999999998</v>
      </c>
      <c r="F976">
        <v>4</v>
      </c>
      <c r="G976" t="s">
        <v>29</v>
      </c>
      <c r="H976">
        <v>1532.8</v>
      </c>
      <c r="I976">
        <v>1619.69</v>
      </c>
      <c r="J976" t="s">
        <v>17</v>
      </c>
      <c r="K976">
        <v>0.05</v>
      </c>
      <c r="L976" t="s">
        <v>27</v>
      </c>
      <c r="M976" t="s">
        <v>22</v>
      </c>
      <c r="N976" t="s">
        <v>40</v>
      </c>
      <c r="O976" t="str">
        <f t="shared" si="75"/>
        <v>Jul</v>
      </c>
      <c r="P976" t="str">
        <f t="shared" si="76"/>
        <v>Friday</v>
      </c>
      <c r="Q976">
        <f t="shared" si="77"/>
        <v>5824.6399999999994</v>
      </c>
      <c r="R976">
        <f t="shared" si="78"/>
        <v>347.5600000000004</v>
      </c>
      <c r="S976">
        <f t="shared" si="79"/>
        <v>330.18200000000036</v>
      </c>
    </row>
    <row r="977" spans="1:19" x14ac:dyDescent="0.3">
      <c r="A977">
        <v>1018</v>
      </c>
      <c r="B977" s="1">
        <v>45169</v>
      </c>
      <c r="C977" t="s">
        <v>42</v>
      </c>
      <c r="D977" t="s">
        <v>34</v>
      </c>
      <c r="E977">
        <v>2260.25</v>
      </c>
      <c r="F977">
        <v>1</v>
      </c>
      <c r="G977" t="s">
        <v>35</v>
      </c>
      <c r="H977">
        <v>2315.83</v>
      </c>
      <c r="I977">
        <v>2333.19</v>
      </c>
      <c r="J977" t="s">
        <v>30</v>
      </c>
      <c r="K977">
        <v>0.01</v>
      </c>
      <c r="L977" t="s">
        <v>18</v>
      </c>
      <c r="M977" t="s">
        <v>22</v>
      </c>
      <c r="N977" t="s">
        <v>52</v>
      </c>
      <c r="O977" t="str">
        <f t="shared" si="75"/>
        <v>Aug</v>
      </c>
      <c r="P977" t="str">
        <f t="shared" si="76"/>
        <v>Thursday</v>
      </c>
      <c r="Q977">
        <f t="shared" si="77"/>
        <v>2292.6716999999999</v>
      </c>
      <c r="R977">
        <f t="shared" si="78"/>
        <v>17.360000000000127</v>
      </c>
      <c r="S977">
        <f t="shared" si="79"/>
        <v>17.186400000000127</v>
      </c>
    </row>
    <row r="978" spans="1:19" x14ac:dyDescent="0.3">
      <c r="A978">
        <v>1038</v>
      </c>
      <c r="B978" s="1">
        <v>44961</v>
      </c>
      <c r="C978" t="s">
        <v>33</v>
      </c>
      <c r="D978" t="s">
        <v>15</v>
      </c>
      <c r="E978">
        <v>8753.31</v>
      </c>
      <c r="F978">
        <v>7</v>
      </c>
      <c r="G978" t="s">
        <v>16</v>
      </c>
      <c r="H978">
        <v>523.02</v>
      </c>
      <c r="I978">
        <v>686.25</v>
      </c>
      <c r="J978" t="s">
        <v>17</v>
      </c>
      <c r="K978">
        <v>0.04</v>
      </c>
      <c r="L978" t="s">
        <v>18</v>
      </c>
      <c r="M978" t="s">
        <v>19</v>
      </c>
      <c r="N978" t="s">
        <v>53</v>
      </c>
      <c r="O978" t="str">
        <f t="shared" si="75"/>
        <v>Feb</v>
      </c>
      <c r="P978" t="str">
        <f t="shared" si="76"/>
        <v>Saturday</v>
      </c>
      <c r="Q978">
        <f t="shared" si="77"/>
        <v>3514.6943999999999</v>
      </c>
      <c r="R978">
        <f t="shared" si="78"/>
        <v>1142.6100000000001</v>
      </c>
      <c r="S978">
        <f t="shared" si="79"/>
        <v>1096.9056</v>
      </c>
    </row>
    <row r="979" spans="1:19"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c r="O979" t="str">
        <f t="shared" si="75"/>
        <v>Apr</v>
      </c>
      <c r="P979" t="str">
        <f t="shared" si="76"/>
        <v>Monday</v>
      </c>
      <c r="Q979">
        <f t="shared" si="77"/>
        <v>110597.17199999999</v>
      </c>
      <c r="R979">
        <f t="shared" si="78"/>
        <v>8945.6999999997151</v>
      </c>
      <c r="S979">
        <f t="shared" si="79"/>
        <v>7335.4739999997673</v>
      </c>
    </row>
    <row r="980" spans="1:19"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c r="O980" t="str">
        <f t="shared" si="75"/>
        <v>Jul</v>
      </c>
      <c r="P980" t="str">
        <f t="shared" si="76"/>
        <v>Wednesday</v>
      </c>
      <c r="Q980">
        <f t="shared" si="77"/>
        <v>40016.9925</v>
      </c>
      <c r="R980">
        <f t="shared" si="78"/>
        <v>699.83999999999378</v>
      </c>
      <c r="S980">
        <f t="shared" si="79"/>
        <v>664.84799999999404</v>
      </c>
    </row>
    <row r="981" spans="1:19"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c r="O981" t="str">
        <f t="shared" si="75"/>
        <v>Dec</v>
      </c>
      <c r="P981" t="str">
        <f t="shared" si="76"/>
        <v>Tuesday</v>
      </c>
      <c r="Q981">
        <f t="shared" si="77"/>
        <v>159495.97649999999</v>
      </c>
      <c r="R981">
        <f t="shared" si="78"/>
        <v>7658.0000000000064</v>
      </c>
      <c r="S981">
        <f t="shared" si="79"/>
        <v>7121.9400000000051</v>
      </c>
    </row>
    <row r="982" spans="1:19"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c r="O982" t="str">
        <f t="shared" si="75"/>
        <v>Nov</v>
      </c>
      <c r="P982" t="str">
        <f t="shared" si="76"/>
        <v>Tuesday</v>
      </c>
      <c r="Q982">
        <f t="shared" si="77"/>
        <v>34446.772799999999</v>
      </c>
      <c r="R982">
        <f t="shared" si="78"/>
        <v>2245.1199999999953</v>
      </c>
      <c r="S982">
        <f t="shared" si="79"/>
        <v>2222.6687999999954</v>
      </c>
    </row>
    <row r="983" spans="1:19" x14ac:dyDescent="0.3">
      <c r="A983">
        <v>1028</v>
      </c>
      <c r="B983" s="1">
        <v>45231</v>
      </c>
      <c r="C983" t="s">
        <v>14</v>
      </c>
      <c r="D983" t="s">
        <v>34</v>
      </c>
      <c r="E983">
        <v>7946.69</v>
      </c>
      <c r="F983">
        <v>24</v>
      </c>
      <c r="G983" t="s">
        <v>26</v>
      </c>
      <c r="H983">
        <v>911.11</v>
      </c>
      <c r="I983">
        <v>1214.56</v>
      </c>
      <c r="J983" t="s">
        <v>30</v>
      </c>
      <c r="K983">
        <v>0.22</v>
      </c>
      <c r="L983" t="s">
        <v>27</v>
      </c>
      <c r="M983" t="s">
        <v>19</v>
      </c>
      <c r="N983" t="s">
        <v>46</v>
      </c>
      <c r="O983" t="str">
        <f t="shared" si="75"/>
        <v>Nov</v>
      </c>
      <c r="P983" t="str">
        <f t="shared" si="76"/>
        <v>Wednesday</v>
      </c>
      <c r="Q983">
        <f t="shared" si="77"/>
        <v>17055.979200000002</v>
      </c>
      <c r="R983">
        <f t="shared" si="78"/>
        <v>7282.7999999999984</v>
      </c>
      <c r="S983">
        <f t="shared" si="79"/>
        <v>5680.5839999999989</v>
      </c>
    </row>
    <row r="984" spans="1:19" x14ac:dyDescent="0.3">
      <c r="A984">
        <v>1074</v>
      </c>
      <c r="B984" s="1">
        <v>45276</v>
      </c>
      <c r="C984" t="s">
        <v>14</v>
      </c>
      <c r="D984" t="s">
        <v>15</v>
      </c>
      <c r="E984">
        <v>6310.56</v>
      </c>
      <c r="F984">
        <v>19</v>
      </c>
      <c r="G984" t="s">
        <v>16</v>
      </c>
      <c r="H984">
        <v>278.67</v>
      </c>
      <c r="I984">
        <v>423.13</v>
      </c>
      <c r="J984" t="s">
        <v>30</v>
      </c>
      <c r="K984">
        <v>0.24</v>
      </c>
      <c r="L984" t="s">
        <v>31</v>
      </c>
      <c r="M984" t="s">
        <v>19</v>
      </c>
      <c r="N984" t="s">
        <v>20</v>
      </c>
      <c r="O984" t="str">
        <f t="shared" si="75"/>
        <v>Dec</v>
      </c>
      <c r="P984" t="str">
        <f t="shared" si="76"/>
        <v>Saturday</v>
      </c>
      <c r="Q984">
        <f t="shared" si="77"/>
        <v>4023.9948000000004</v>
      </c>
      <c r="R984">
        <f t="shared" si="78"/>
        <v>2744.74</v>
      </c>
      <c r="S984">
        <f t="shared" si="79"/>
        <v>2086.0023999999999</v>
      </c>
    </row>
    <row r="985" spans="1:19" x14ac:dyDescent="0.3">
      <c r="A985">
        <v>1039</v>
      </c>
      <c r="B985" s="1">
        <v>45139</v>
      </c>
      <c r="C985" t="s">
        <v>38</v>
      </c>
      <c r="D985" t="s">
        <v>21</v>
      </c>
      <c r="E985">
        <v>7527.63</v>
      </c>
      <c r="F985">
        <v>36</v>
      </c>
      <c r="G985" t="s">
        <v>29</v>
      </c>
      <c r="H985">
        <v>2919</v>
      </c>
      <c r="I985">
        <v>3125.01</v>
      </c>
      <c r="J985" t="s">
        <v>30</v>
      </c>
      <c r="K985">
        <v>0.24</v>
      </c>
      <c r="L985" t="s">
        <v>18</v>
      </c>
      <c r="M985" t="s">
        <v>19</v>
      </c>
      <c r="N985" t="s">
        <v>41</v>
      </c>
      <c r="O985" t="str">
        <f t="shared" si="75"/>
        <v>Aug</v>
      </c>
      <c r="P985" t="str">
        <f t="shared" si="76"/>
        <v>Tuesday</v>
      </c>
      <c r="Q985">
        <f t="shared" si="77"/>
        <v>79863.839999999997</v>
      </c>
      <c r="R985">
        <f t="shared" si="78"/>
        <v>7416.3600000000079</v>
      </c>
      <c r="S985">
        <f t="shared" si="79"/>
        <v>5636.4336000000058</v>
      </c>
    </row>
    <row r="986" spans="1:19"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c r="O986" t="str">
        <f t="shared" si="75"/>
        <v>Jun</v>
      </c>
      <c r="P986" t="str">
        <f t="shared" si="76"/>
        <v>Thursday</v>
      </c>
      <c r="Q986">
        <f t="shared" si="77"/>
        <v>188541.85920000001</v>
      </c>
      <c r="R986">
        <f t="shared" si="78"/>
        <v>16829.769999999975</v>
      </c>
      <c r="S986">
        <f t="shared" si="79"/>
        <v>16156.579199999975</v>
      </c>
    </row>
    <row r="987" spans="1:19"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c r="O987" t="str">
        <f t="shared" si="75"/>
        <v>Jan</v>
      </c>
      <c r="P987" t="str">
        <f t="shared" si="76"/>
        <v>Tuesday</v>
      </c>
      <c r="Q987">
        <f t="shared" si="77"/>
        <v>18288.711899999998</v>
      </c>
      <c r="R987">
        <f t="shared" si="78"/>
        <v>12722.399999999998</v>
      </c>
      <c r="S987">
        <f t="shared" si="79"/>
        <v>9287.351999999999</v>
      </c>
    </row>
    <row r="988" spans="1:19" x14ac:dyDescent="0.3">
      <c r="A988">
        <v>1086</v>
      </c>
      <c r="B988" s="1">
        <v>45219</v>
      </c>
      <c r="C988" t="s">
        <v>24</v>
      </c>
      <c r="D988" t="s">
        <v>25</v>
      </c>
      <c r="E988">
        <v>3577.07</v>
      </c>
      <c r="F988">
        <v>32</v>
      </c>
      <c r="G988" t="s">
        <v>16</v>
      </c>
      <c r="H988">
        <v>84.86</v>
      </c>
      <c r="I988">
        <v>517.17999999999995</v>
      </c>
      <c r="J988" t="s">
        <v>17</v>
      </c>
      <c r="K988">
        <v>0.2</v>
      </c>
      <c r="L988" t="s">
        <v>31</v>
      </c>
      <c r="M988" t="s">
        <v>22</v>
      </c>
      <c r="N988" t="s">
        <v>28</v>
      </c>
      <c r="O988" t="str">
        <f t="shared" si="75"/>
        <v>Oct</v>
      </c>
      <c r="P988" t="str">
        <f t="shared" si="76"/>
        <v>Friday</v>
      </c>
      <c r="Q988">
        <f t="shared" si="77"/>
        <v>2172.4160000000002</v>
      </c>
      <c r="R988">
        <f t="shared" si="78"/>
        <v>13834.239999999998</v>
      </c>
      <c r="S988">
        <f t="shared" si="79"/>
        <v>11067.392</v>
      </c>
    </row>
    <row r="989" spans="1:19"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c r="O989" t="str">
        <f t="shared" si="75"/>
        <v>Jan</v>
      </c>
      <c r="P989" t="str">
        <f t="shared" si="76"/>
        <v>Wednesday</v>
      </c>
      <c r="Q989">
        <f t="shared" si="77"/>
        <v>41260.286200000002</v>
      </c>
      <c r="R989">
        <f t="shared" si="78"/>
        <v>4011</v>
      </c>
      <c r="S989">
        <f t="shared" si="79"/>
        <v>2928.0299999999997</v>
      </c>
    </row>
    <row r="990" spans="1:19"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c r="O990" t="str">
        <f t="shared" si="75"/>
        <v>Aug</v>
      </c>
      <c r="P990" t="str">
        <f t="shared" si="76"/>
        <v>Tuesday</v>
      </c>
      <c r="Q990">
        <f t="shared" si="77"/>
        <v>6735.9923999999992</v>
      </c>
      <c r="R990">
        <f t="shared" si="78"/>
        <v>3798.7199999999993</v>
      </c>
      <c r="S990">
        <f t="shared" si="79"/>
        <v>3304.8863999999994</v>
      </c>
    </row>
    <row r="991" spans="1:19"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c r="O991" t="str">
        <f t="shared" si="75"/>
        <v>Dec</v>
      </c>
      <c r="P991" t="str">
        <f t="shared" si="76"/>
        <v>Saturday</v>
      </c>
      <c r="Q991">
        <f t="shared" si="77"/>
        <v>51103.382400000002</v>
      </c>
      <c r="R991">
        <f t="shared" si="78"/>
        <v>4848.1999999999898</v>
      </c>
      <c r="S991">
        <f t="shared" si="79"/>
        <v>4217.9339999999911</v>
      </c>
    </row>
    <row r="992" spans="1:19" x14ac:dyDescent="0.3">
      <c r="A992">
        <v>1017</v>
      </c>
      <c r="B992" s="1">
        <v>44946</v>
      </c>
      <c r="C992" t="s">
        <v>14</v>
      </c>
      <c r="D992" t="s">
        <v>34</v>
      </c>
      <c r="E992">
        <v>496.59</v>
      </c>
      <c r="F992">
        <v>29</v>
      </c>
      <c r="G992" t="s">
        <v>29</v>
      </c>
      <c r="H992">
        <v>3410.49</v>
      </c>
      <c r="I992">
        <v>3481.72</v>
      </c>
      <c r="J992" t="s">
        <v>30</v>
      </c>
      <c r="K992">
        <v>0.24</v>
      </c>
      <c r="L992" t="s">
        <v>27</v>
      </c>
      <c r="M992" t="s">
        <v>22</v>
      </c>
      <c r="N992" t="s">
        <v>46</v>
      </c>
      <c r="O992" t="str">
        <f t="shared" si="75"/>
        <v>Jan</v>
      </c>
      <c r="P992" t="str">
        <f t="shared" si="76"/>
        <v>Friday</v>
      </c>
      <c r="Q992">
        <f t="shared" si="77"/>
        <v>75167.199599999993</v>
      </c>
      <c r="R992">
        <f t="shared" si="78"/>
        <v>2065.6700000000005</v>
      </c>
      <c r="S992">
        <f t="shared" si="79"/>
        <v>1569.9092000000005</v>
      </c>
    </row>
    <row r="993" spans="1:19"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c r="O993" t="str">
        <f t="shared" si="75"/>
        <v>Jun</v>
      </c>
      <c r="P993" t="str">
        <f t="shared" si="76"/>
        <v>Thursday</v>
      </c>
      <c r="Q993">
        <f t="shared" si="77"/>
        <v>18967.768</v>
      </c>
      <c r="R993">
        <f t="shared" si="78"/>
        <v>995.35999999999694</v>
      </c>
      <c r="S993">
        <f t="shared" si="79"/>
        <v>965.49919999999702</v>
      </c>
    </row>
    <row r="994" spans="1:19" x14ac:dyDescent="0.3">
      <c r="A994">
        <v>1084</v>
      </c>
      <c r="B994" s="1">
        <v>44976</v>
      </c>
      <c r="C994" t="s">
        <v>24</v>
      </c>
      <c r="D994" t="s">
        <v>21</v>
      </c>
      <c r="E994">
        <v>2154.66</v>
      </c>
      <c r="F994">
        <v>35</v>
      </c>
      <c r="G994" t="s">
        <v>26</v>
      </c>
      <c r="H994">
        <v>465.61</v>
      </c>
      <c r="I994">
        <v>812.91</v>
      </c>
      <c r="J994" t="s">
        <v>30</v>
      </c>
      <c r="K994">
        <v>0.16</v>
      </c>
      <c r="L994" t="s">
        <v>27</v>
      </c>
      <c r="M994" t="s">
        <v>19</v>
      </c>
      <c r="N994" t="s">
        <v>47</v>
      </c>
      <c r="O994" t="str">
        <f t="shared" si="75"/>
        <v>Feb</v>
      </c>
      <c r="P994" t="str">
        <f t="shared" si="76"/>
        <v>Sunday</v>
      </c>
      <c r="Q994">
        <f t="shared" si="77"/>
        <v>13688.933999999999</v>
      </c>
      <c r="R994">
        <f t="shared" si="78"/>
        <v>12155.499999999998</v>
      </c>
      <c r="S994">
        <f t="shared" si="79"/>
        <v>10210.619999999999</v>
      </c>
    </row>
    <row r="995" spans="1:19" x14ac:dyDescent="0.3">
      <c r="A995">
        <v>1025</v>
      </c>
      <c r="B995" s="1">
        <v>45103</v>
      </c>
      <c r="C995" t="s">
        <v>24</v>
      </c>
      <c r="D995" t="s">
        <v>15</v>
      </c>
      <c r="E995">
        <v>2457.65</v>
      </c>
      <c r="F995">
        <v>47</v>
      </c>
      <c r="G995" t="s">
        <v>16</v>
      </c>
      <c r="H995">
        <v>3861.61</v>
      </c>
      <c r="I995">
        <v>3998.91</v>
      </c>
      <c r="J995" t="s">
        <v>30</v>
      </c>
      <c r="K995">
        <v>0.25</v>
      </c>
      <c r="L995" t="s">
        <v>31</v>
      </c>
      <c r="M995" t="s">
        <v>19</v>
      </c>
      <c r="N995" t="s">
        <v>45</v>
      </c>
      <c r="O995" t="str">
        <f t="shared" si="75"/>
        <v>Jun</v>
      </c>
      <c r="P995" t="str">
        <f t="shared" si="76"/>
        <v>Monday</v>
      </c>
      <c r="Q995">
        <f t="shared" si="77"/>
        <v>136121.7525</v>
      </c>
      <c r="R995">
        <f t="shared" si="78"/>
        <v>6453.0999999999876</v>
      </c>
      <c r="S995">
        <f t="shared" si="79"/>
        <v>4839.8249999999907</v>
      </c>
    </row>
    <row r="996" spans="1:19" x14ac:dyDescent="0.3">
      <c r="A996">
        <v>1068</v>
      </c>
      <c r="B996" s="1">
        <v>45022</v>
      </c>
      <c r="C996" t="s">
        <v>42</v>
      </c>
      <c r="D996" t="s">
        <v>25</v>
      </c>
      <c r="E996">
        <v>9093.5</v>
      </c>
      <c r="F996">
        <v>31</v>
      </c>
      <c r="G996" t="s">
        <v>29</v>
      </c>
      <c r="H996">
        <v>3169.37</v>
      </c>
      <c r="I996">
        <v>3304.15</v>
      </c>
      <c r="J996" t="s">
        <v>17</v>
      </c>
      <c r="K996">
        <v>0.25</v>
      </c>
      <c r="L996" t="s">
        <v>31</v>
      </c>
      <c r="M996" t="s">
        <v>22</v>
      </c>
      <c r="N996" t="s">
        <v>43</v>
      </c>
      <c r="O996" t="str">
        <f t="shared" si="75"/>
        <v>Apr</v>
      </c>
      <c r="P996" t="str">
        <f t="shared" si="76"/>
        <v>Thursday</v>
      </c>
      <c r="Q996">
        <f t="shared" si="77"/>
        <v>73687.852500000008</v>
      </c>
      <c r="R996">
        <f t="shared" si="78"/>
        <v>4178.1800000000057</v>
      </c>
      <c r="S996">
        <f t="shared" si="79"/>
        <v>3133.6350000000043</v>
      </c>
    </row>
    <row r="997" spans="1:19"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c r="O997" t="str">
        <f t="shared" si="75"/>
        <v>Apr</v>
      </c>
      <c r="P997" t="str">
        <f t="shared" si="76"/>
        <v>Saturday</v>
      </c>
      <c r="Q997">
        <f t="shared" si="77"/>
        <v>14038.205199999999</v>
      </c>
      <c r="R997">
        <f t="shared" si="78"/>
        <v>1996.4799999999996</v>
      </c>
      <c r="S997">
        <f t="shared" si="79"/>
        <v>1417.5007999999996</v>
      </c>
    </row>
    <row r="998" spans="1:19"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c r="O998" t="str">
        <f t="shared" si="75"/>
        <v>Sep</v>
      </c>
      <c r="P998" t="str">
        <f t="shared" si="76"/>
        <v>Thursday</v>
      </c>
      <c r="Q998">
        <f t="shared" si="77"/>
        <v>51278.7736</v>
      </c>
      <c r="R998">
        <f t="shared" si="78"/>
        <v>3776.9599999996353</v>
      </c>
      <c r="S998">
        <f t="shared" si="79"/>
        <v>2983.7983999997118</v>
      </c>
    </row>
    <row r="999" spans="1:19" x14ac:dyDescent="0.3">
      <c r="A999">
        <v>1018</v>
      </c>
      <c r="B999" s="1">
        <v>45043</v>
      </c>
      <c r="C999" t="s">
        <v>24</v>
      </c>
      <c r="D999" t="s">
        <v>25</v>
      </c>
      <c r="E999">
        <v>7629.7</v>
      </c>
      <c r="F999">
        <v>17</v>
      </c>
      <c r="G999" t="s">
        <v>29</v>
      </c>
      <c r="H999">
        <v>355.72</v>
      </c>
      <c r="I999">
        <v>438.27</v>
      </c>
      <c r="J999" t="s">
        <v>17</v>
      </c>
      <c r="K999">
        <v>0.06</v>
      </c>
      <c r="L999" t="s">
        <v>27</v>
      </c>
      <c r="M999" t="s">
        <v>19</v>
      </c>
      <c r="N999" t="s">
        <v>28</v>
      </c>
      <c r="O999" t="str">
        <f t="shared" si="75"/>
        <v>Apr</v>
      </c>
      <c r="P999" t="str">
        <f t="shared" si="76"/>
        <v>Thursday</v>
      </c>
      <c r="Q999">
        <f t="shared" si="77"/>
        <v>5684.4056</v>
      </c>
      <c r="R999">
        <f t="shared" si="78"/>
        <v>1403.3499999999992</v>
      </c>
      <c r="S999">
        <f t="shared" si="79"/>
        <v>1319.1489999999992</v>
      </c>
    </row>
    <row r="1000" spans="1:19"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c r="O1000" t="str">
        <f t="shared" si="75"/>
        <v>Dec</v>
      </c>
      <c r="P1000" t="str">
        <f t="shared" si="76"/>
        <v>Wednesday</v>
      </c>
      <c r="Q1000">
        <f t="shared" si="77"/>
        <v>142279.00830000002</v>
      </c>
      <c r="R1000">
        <f t="shared" si="78"/>
        <v>2276.0399999999872</v>
      </c>
      <c r="S1000">
        <f t="shared" si="79"/>
        <v>2253.2795999999871</v>
      </c>
    </row>
    <row r="1001" spans="1:19"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c r="O1001" t="str">
        <f t="shared" si="75"/>
        <v>Aug</v>
      </c>
      <c r="P1001" t="str">
        <f t="shared" si="76"/>
        <v>Wednesday</v>
      </c>
      <c r="Q1001">
        <f t="shared" si="77"/>
        <v>108672.90239999999</v>
      </c>
      <c r="R1001">
        <f t="shared" si="78"/>
        <v>14116.799999999996</v>
      </c>
      <c r="S1001">
        <f t="shared" si="79"/>
        <v>12140.447999999997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sales_data2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HP</cp:lastModifiedBy>
  <cp:lastPrinted>2026-03-01T09:53:42Z</cp:lastPrinted>
  <dcterms:created xsi:type="dcterms:W3CDTF">2026-03-01T06:59:31Z</dcterms:created>
  <dcterms:modified xsi:type="dcterms:W3CDTF">2026-03-01T10:43:20Z</dcterms:modified>
</cp:coreProperties>
</file>